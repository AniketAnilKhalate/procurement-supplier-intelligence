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 firstSheet="12" activeTab="13"/>
  </bookViews>
  <sheets>
    <sheet name="START_HERE" sheetId="1" r:id="rId1"/>
    <sheet name="DataDictionary" sheetId="2" r:id="rId2"/>
    <sheet name="Products" sheetId="3" r:id="rId3"/>
    <sheet name="Suppliers" sheetId="4" r:id="rId4"/>
    <sheet name="SupplierQuotes" sheetId="5" r:id="rId5"/>
    <sheet name="PurchaseOrders" sheetId="6" r:id="rId6"/>
    <sheet name="POSummary" sheetId="17" r:id="rId7"/>
    <sheet name="POLines" sheetId="7" r:id="rId8"/>
    <sheet name="POTracking" sheetId="8" r:id="rId9"/>
    <sheet name="InventoryMonthly" sheetId="9" r:id="rId10"/>
    <sheet name="SalesMonthly" sheetId="10" r:id="rId11"/>
    <sheet name="SupplierPerformance" sheetId="11" r:id="rId12"/>
    <sheet name="SupplierSummary" sheetId="16" r:id="rId13"/>
    <sheet name="DeliverySummary" sheetId="20" r:id="rId14"/>
    <sheet name="SupplierSpend" sheetId="19" r:id="rId15"/>
    <sheet name="SupplierFollowUp" sheetId="18" r:id="rId16"/>
    <sheet name="Agencies" sheetId="12" r:id="rId17"/>
    <sheet name="Campaigns" sheetId="13" r:id="rId18"/>
    <sheet name="CreatorPerformance" sheetId="14" r:id="rId19"/>
    <sheet name="CampaignCompliance" sheetId="15" r:id="rId20"/>
  </sheets>
  <definedNames>
    <definedName name="_xlnm._FilterDatabase" localSheetId="0" hidden="1">START_HERE!$A$1:$B$9</definedName>
    <definedName name="_xlnm._FilterDatabase" localSheetId="1" hidden="1">DataDictionary!$A$1:$C$14</definedName>
    <definedName name="_xlnm._FilterDatabase" localSheetId="3" hidden="1">Suppliers!$A$1:$G$21</definedName>
    <definedName name="_xlnm._FilterDatabase" localSheetId="4" hidden="1">SupplierQuotes!$A$1:$H$241</definedName>
    <definedName name="_xlnm._FilterDatabase" localSheetId="7" hidden="1">POLines!$A$1:$G$321</definedName>
    <definedName name="_xlnm._FilterDatabase" localSheetId="8" hidden="1">POTracking!$A$1:$F$321</definedName>
    <definedName name="_xlnm._FilterDatabase" localSheetId="10" hidden="1">SalesMonthly!$A$1:$D$961</definedName>
    <definedName name="_xlnm._FilterDatabase" localSheetId="16" hidden="1">Agencies!$A$1:$E$16</definedName>
    <definedName name="_xlnm._FilterDatabase" localSheetId="17" hidden="1">Campaigns!$A$1:$H$61</definedName>
    <definedName name="_xlnm._FilterDatabase" localSheetId="18" hidden="1">CreatorPerformance!$A$1:$F$61</definedName>
    <definedName name="_xlnm._FilterDatabase" localSheetId="19" hidden="1">CampaignCompliance!$A$1:$E$61</definedName>
    <definedName name="_xlnm._FilterDatabase" localSheetId="2" hidden="1">Products!$A$1:$I$81</definedName>
    <definedName name="_xlnm._FilterDatabase" localSheetId="5" hidden="1">PurchaseOrders!$A$1:$I$321</definedName>
    <definedName name="_xlnm._FilterDatabase" localSheetId="9" hidden="1">InventoryMonthly!$A$1:$H$961</definedName>
    <definedName name="_xlnm._FilterDatabase" localSheetId="11" hidden="1">SupplierPerformance!$A$1:$H$81</definedName>
    <definedName name="_xlnm._FilterDatabase" localSheetId="12" hidden="1">SupplierSummary!$A$1:$B$21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<sst xmlns="http://schemas.openxmlformats.org/spreadsheetml/2006/main" count="7537" uniqueCount="1423">
  <si>
    <t>Topic</t>
  </si>
  <si>
    <t>Details</t>
  </si>
  <si>
    <t>Purpose</t>
  </si>
  <si>
    <t>Portfolio project for purchasing, procurement, supplier scorecards, inventory and agency buying.</t>
  </si>
  <si>
    <t>Data status</t>
  </si>
  <si>
    <t>All operational data is synthetic/simulated and intended for practice, not actual company data.</t>
  </si>
  <si>
    <t>Time range</t>
  </si>
  <si>
    <t>Primarily calendar year 2025; monthly records and quarterly scorecards.</t>
  </si>
  <si>
    <t>Tools</t>
  </si>
  <si>
    <t>Excel for checks/formulas; SQLite for joins and KPIs; Power BI for dashboards.</t>
  </si>
  <si>
    <t>Core concepts</t>
  </si>
  <si>
    <t>PO cycle time, on-time delivery, supplier score, reorder point, stock cover, spend, price variance, open PO exposure, compliance.</t>
  </si>
  <si>
    <t>Reorder point</t>
  </si>
  <si>
    <t>Average daily demand × supplier lead time in days + safety stock.</t>
  </si>
  <si>
    <t>Caution</t>
  </si>
  <si>
    <t>Synthetic patterns are for learning only; validate definitions before real decisions.</t>
  </si>
  <si>
    <t>Suggested order</t>
  </si>
  <si>
    <t>START_HERE → DataDictionary → Products/Suppliers → PurchaseOrders/POLines/POTracking → InventoryMonthly/SalesMonthly → SupplierPerformance → campaign sourcing tables.</t>
  </si>
  <si>
    <t>Table</t>
  </si>
  <si>
    <t>Key</t>
  </si>
  <si>
    <t>Definition</t>
  </si>
  <si>
    <t>Products</t>
  </si>
  <si>
    <t>ProductID</t>
  </si>
  <si>
    <t>Unique product key</t>
  </si>
  <si>
    <t>Suppliers</t>
  </si>
  <si>
    <t>SupplierID</t>
  </si>
  <si>
    <t>Unique supplier key</t>
  </si>
  <si>
    <t>SupplierQuotes</t>
  </si>
  <si>
    <t>QuoteID</t>
  </si>
  <si>
    <t>Unique supplier quote key</t>
  </si>
  <si>
    <t>PurchaseOrders</t>
  </si>
  <si>
    <t>POID</t>
  </si>
  <si>
    <t>Unique purchase order key</t>
  </si>
  <si>
    <t>POLines</t>
  </si>
  <si>
    <t>POLineID</t>
  </si>
  <si>
    <t>Unique purchase order line key</t>
  </si>
  <si>
    <t>POTracking</t>
  </si>
  <si>
    <t>One logistics tracking record per PO</t>
  </si>
  <si>
    <t>InventoryMonthly</t>
  </si>
  <si>
    <t>SnapshotDate + ProductID</t>
  </si>
  <si>
    <t>Monthly stock and reorder snapshot</t>
  </si>
  <si>
    <t>SalesMonthly</t>
  </si>
  <si>
    <t>Month + ProductID</t>
  </si>
  <si>
    <t>Monthly product sales/usage</t>
  </si>
  <si>
    <t>SupplierPerformance</t>
  </si>
  <si>
    <t>SupplierID + Quarter</t>
  </si>
  <si>
    <t>Quarterly supplier KPI record</t>
  </si>
  <si>
    <t>Agencies</t>
  </si>
  <si>
    <t>AgencyID</t>
  </si>
  <si>
    <t>Creator agency dimension</t>
  </si>
  <si>
    <t>Campaigns</t>
  </si>
  <si>
    <t>CampaignID</t>
  </si>
  <si>
    <t>Campaign budget and spend</t>
  </si>
  <si>
    <t>CreatorPerformance</t>
  </si>
  <si>
    <t>Campaign performance metrics</t>
  </si>
  <si>
    <t>CampaignCompliance</t>
  </si>
  <si>
    <t>Contract, rights, disclosure and privacy checks</t>
  </si>
  <si>
    <t>ProductName</t>
  </si>
  <si>
    <t>Category</t>
  </si>
  <si>
    <t>UnitCostGBP</t>
  </si>
  <si>
    <t>AnnualDemandUnits</t>
  </si>
  <si>
    <t>LeadTimeDaysTarget</t>
  </si>
  <si>
    <t>SafetyStockUnits</t>
  </si>
  <si>
    <t>ReorderReviewDays</t>
  </si>
  <si>
    <t>ReorderPointUnits</t>
  </si>
  <si>
    <t>P001</t>
  </si>
  <si>
    <t>Product 001</t>
  </si>
  <si>
    <t>Electronics</t>
  </si>
  <si>
    <t>P002</t>
  </si>
  <si>
    <t>Product 002</t>
  </si>
  <si>
    <t>Home &amp; Kitchen</t>
  </si>
  <si>
    <t>P003</t>
  </si>
  <si>
    <t>Product 003</t>
  </si>
  <si>
    <t>Beauty</t>
  </si>
  <si>
    <t>P004</t>
  </si>
  <si>
    <t>Product 004</t>
  </si>
  <si>
    <t>Office Supplies</t>
  </si>
  <si>
    <t>P005</t>
  </si>
  <si>
    <t>Product 005</t>
  </si>
  <si>
    <t>Sports &amp; Outdoors</t>
  </si>
  <si>
    <t>P006</t>
  </si>
  <si>
    <t>Product 006</t>
  </si>
  <si>
    <t>P007</t>
  </si>
  <si>
    <t>Product 007</t>
  </si>
  <si>
    <t>P008</t>
  </si>
  <si>
    <t>Product 008</t>
  </si>
  <si>
    <t>P009</t>
  </si>
  <si>
    <t>Product 009</t>
  </si>
  <si>
    <t>P010</t>
  </si>
  <si>
    <t>Product 010</t>
  </si>
  <si>
    <t>P011</t>
  </si>
  <si>
    <t>Product 011</t>
  </si>
  <si>
    <t>P012</t>
  </si>
  <si>
    <t>Product 012</t>
  </si>
  <si>
    <t>P013</t>
  </si>
  <si>
    <t>Product 013</t>
  </si>
  <si>
    <t>P014</t>
  </si>
  <si>
    <t>Product 014</t>
  </si>
  <si>
    <t>P015</t>
  </si>
  <si>
    <t>Product 015</t>
  </si>
  <si>
    <t>P016</t>
  </si>
  <si>
    <t>Product 016</t>
  </si>
  <si>
    <t>P017</t>
  </si>
  <si>
    <t>Product 017</t>
  </si>
  <si>
    <t>P018</t>
  </si>
  <si>
    <t>Product 018</t>
  </si>
  <si>
    <t>P019</t>
  </si>
  <si>
    <t>Product 019</t>
  </si>
  <si>
    <t>P020</t>
  </si>
  <si>
    <t>Product 020</t>
  </si>
  <si>
    <t>P021</t>
  </si>
  <si>
    <t>Product 021</t>
  </si>
  <si>
    <t>P022</t>
  </si>
  <si>
    <t>Product 022</t>
  </si>
  <si>
    <t>P023</t>
  </si>
  <si>
    <t>Product 023</t>
  </si>
  <si>
    <t>P024</t>
  </si>
  <si>
    <t>Product 024</t>
  </si>
  <si>
    <t>P025</t>
  </si>
  <si>
    <t>Product 025</t>
  </si>
  <si>
    <t>P026</t>
  </si>
  <si>
    <t>Product 026</t>
  </si>
  <si>
    <t>P027</t>
  </si>
  <si>
    <t>Product 027</t>
  </si>
  <si>
    <t>P028</t>
  </si>
  <si>
    <t>Product 028</t>
  </si>
  <si>
    <t>P029</t>
  </si>
  <si>
    <t>Product 029</t>
  </si>
  <si>
    <t>P030</t>
  </si>
  <si>
    <t>Product 030</t>
  </si>
  <si>
    <t>P031</t>
  </si>
  <si>
    <t>Product 031</t>
  </si>
  <si>
    <t>P032</t>
  </si>
  <si>
    <t>Product 032</t>
  </si>
  <si>
    <t>P033</t>
  </si>
  <si>
    <t>Product 033</t>
  </si>
  <si>
    <t>P034</t>
  </si>
  <si>
    <t>Product 034</t>
  </si>
  <si>
    <t>P035</t>
  </si>
  <si>
    <t>Product 035</t>
  </si>
  <si>
    <t>P036</t>
  </si>
  <si>
    <t>Product 036</t>
  </si>
  <si>
    <t>P037</t>
  </si>
  <si>
    <t>Product 037</t>
  </si>
  <si>
    <t>P038</t>
  </si>
  <si>
    <t>Product 038</t>
  </si>
  <si>
    <t>P039</t>
  </si>
  <si>
    <t>Product 039</t>
  </si>
  <si>
    <t>P040</t>
  </si>
  <si>
    <t>Product 040</t>
  </si>
  <si>
    <t>P041</t>
  </si>
  <si>
    <t>Product 041</t>
  </si>
  <si>
    <t>P042</t>
  </si>
  <si>
    <t>Product 042</t>
  </si>
  <si>
    <t>P043</t>
  </si>
  <si>
    <t>Product 043</t>
  </si>
  <si>
    <t>P044</t>
  </si>
  <si>
    <t>Product 044</t>
  </si>
  <si>
    <t>P045</t>
  </si>
  <si>
    <t>Product 045</t>
  </si>
  <si>
    <t>P046</t>
  </si>
  <si>
    <t>Product 046</t>
  </si>
  <si>
    <t>P047</t>
  </si>
  <si>
    <t>Product 047</t>
  </si>
  <si>
    <t>P048</t>
  </si>
  <si>
    <t>Product 048</t>
  </si>
  <si>
    <t>P049</t>
  </si>
  <si>
    <t>Product 049</t>
  </si>
  <si>
    <t>P050</t>
  </si>
  <si>
    <t>Product 050</t>
  </si>
  <si>
    <t>P051</t>
  </si>
  <si>
    <t>Product 051</t>
  </si>
  <si>
    <t>P052</t>
  </si>
  <si>
    <t>Product 052</t>
  </si>
  <si>
    <t>P053</t>
  </si>
  <si>
    <t>Product 053</t>
  </si>
  <si>
    <t>P054</t>
  </si>
  <si>
    <t>Product 054</t>
  </si>
  <si>
    <t>P055</t>
  </si>
  <si>
    <t>Product 055</t>
  </si>
  <si>
    <t>P056</t>
  </si>
  <si>
    <t>Product 056</t>
  </si>
  <si>
    <t>P057</t>
  </si>
  <si>
    <t>Product 057</t>
  </si>
  <si>
    <t>P058</t>
  </si>
  <si>
    <t>Product 058</t>
  </si>
  <si>
    <t>P059</t>
  </si>
  <si>
    <t>Product 059</t>
  </si>
  <si>
    <t>P060</t>
  </si>
  <si>
    <t>Product 060</t>
  </si>
  <si>
    <t>P061</t>
  </si>
  <si>
    <t>Product 061</t>
  </si>
  <si>
    <t>P062</t>
  </si>
  <si>
    <t>Product 062</t>
  </si>
  <si>
    <t>P063</t>
  </si>
  <si>
    <t>Product 063</t>
  </si>
  <si>
    <t>P064</t>
  </si>
  <si>
    <t>Product 064</t>
  </si>
  <si>
    <t>P065</t>
  </si>
  <si>
    <t>Product 065</t>
  </si>
  <si>
    <t>P066</t>
  </si>
  <si>
    <t>Product 066</t>
  </si>
  <si>
    <t>P067</t>
  </si>
  <si>
    <t>Product 067</t>
  </si>
  <si>
    <t>P068</t>
  </si>
  <si>
    <t>Product 068</t>
  </si>
  <si>
    <t>P069</t>
  </si>
  <si>
    <t>Product 069</t>
  </si>
  <si>
    <t>P070</t>
  </si>
  <si>
    <t>Product 070</t>
  </si>
  <si>
    <t>P071</t>
  </si>
  <si>
    <t>Product 071</t>
  </si>
  <si>
    <t>P072</t>
  </si>
  <si>
    <t>Product 072</t>
  </si>
  <si>
    <t>P073</t>
  </si>
  <si>
    <t>Product 073</t>
  </si>
  <si>
    <t>P074</t>
  </si>
  <si>
    <t>Product 074</t>
  </si>
  <si>
    <t>P075</t>
  </si>
  <si>
    <t>Product 075</t>
  </si>
  <si>
    <t>P076</t>
  </si>
  <si>
    <t>Product 076</t>
  </si>
  <si>
    <t>P077</t>
  </si>
  <si>
    <t>Product 077</t>
  </si>
  <si>
    <t>P078</t>
  </si>
  <si>
    <t>Product 078</t>
  </si>
  <si>
    <t>P079</t>
  </si>
  <si>
    <t>Product 079</t>
  </si>
  <si>
    <t>P080</t>
  </si>
  <si>
    <t>Product 080</t>
  </si>
  <si>
    <t>SupplierName</t>
  </si>
  <si>
    <t>Region</t>
  </si>
  <si>
    <t>PreferredSupplier</t>
  </si>
  <si>
    <t>PaymentTermsDays</t>
  </si>
  <si>
    <t>ContractStatus</t>
  </si>
  <si>
    <t>RiskTier</t>
  </si>
  <si>
    <t>S001</t>
  </si>
  <si>
    <t>Supplier 01</t>
  </si>
  <si>
    <t>UK</t>
  </si>
  <si>
    <t>Yes</t>
  </si>
  <si>
    <t>Expiring Soon</t>
  </si>
  <si>
    <t>Low</t>
  </si>
  <si>
    <t>S002</t>
  </si>
  <si>
    <t>Supplier 02</t>
  </si>
  <si>
    <t>North America</t>
  </si>
  <si>
    <t>Active</t>
  </si>
  <si>
    <t>Medium</t>
  </si>
  <si>
    <t>S003</t>
  </si>
  <si>
    <t>Supplier 03</t>
  </si>
  <si>
    <t>Asia</t>
  </si>
  <si>
    <t>Under Review</t>
  </si>
  <si>
    <t>S004</t>
  </si>
  <si>
    <t>Supplier 04</t>
  </si>
  <si>
    <t>EU</t>
  </si>
  <si>
    <t>High</t>
  </si>
  <si>
    <t>S005</t>
  </si>
  <si>
    <t>Supplier 05</t>
  </si>
  <si>
    <t>S006</t>
  </si>
  <si>
    <t>Supplier 06</t>
  </si>
  <si>
    <t>S007</t>
  </si>
  <si>
    <t>Supplier 07</t>
  </si>
  <si>
    <t>S008</t>
  </si>
  <si>
    <t>Supplier 08</t>
  </si>
  <si>
    <t>S009</t>
  </si>
  <si>
    <t>Supplier 09</t>
  </si>
  <si>
    <t>No</t>
  </si>
  <si>
    <t>S010</t>
  </si>
  <si>
    <t>Supplier 10</t>
  </si>
  <si>
    <t>S011</t>
  </si>
  <si>
    <t>Supplier 11</t>
  </si>
  <si>
    <t>S012</t>
  </si>
  <si>
    <t>Supplier 12</t>
  </si>
  <si>
    <t>S013</t>
  </si>
  <si>
    <t>Supplier 13</t>
  </si>
  <si>
    <t>S014</t>
  </si>
  <si>
    <t>Supplier 14</t>
  </si>
  <si>
    <t>S015</t>
  </si>
  <si>
    <t>Supplier 15</t>
  </si>
  <si>
    <t>S016</t>
  </si>
  <si>
    <t>Supplier 16</t>
  </si>
  <si>
    <t>S017</t>
  </si>
  <si>
    <t>Supplier 17</t>
  </si>
  <si>
    <t>S018</t>
  </si>
  <si>
    <t>Supplier 18</t>
  </si>
  <si>
    <t>S019</t>
  </si>
  <si>
    <t>Supplier 19</t>
  </si>
  <si>
    <t>S020</t>
  </si>
  <si>
    <t>Supplier 20</t>
  </si>
  <si>
    <t>QuotedUnitPriceGBP</t>
  </si>
  <si>
    <t>QuotedLeadTimeDays</t>
  </si>
  <si>
    <t>MOQUnits</t>
  </si>
  <si>
    <t>QuoteDate</t>
  </si>
  <si>
    <t>QuoteValidDays</t>
  </si>
  <si>
    <t>Q0001</t>
  </si>
  <si>
    <t>Q0002</t>
  </si>
  <si>
    <t>Q0003</t>
  </si>
  <si>
    <t>Q0004</t>
  </si>
  <si>
    <t>Q0005</t>
  </si>
  <si>
    <t>Q0006</t>
  </si>
  <si>
    <t>Q0007</t>
  </si>
  <si>
    <t>Q0008</t>
  </si>
  <si>
    <t>Q0009</t>
  </si>
  <si>
    <t>Q0010</t>
  </si>
  <si>
    <t>Q0011</t>
  </si>
  <si>
    <t>Q0012</t>
  </si>
  <si>
    <t>Q0013</t>
  </si>
  <si>
    <t>Q0014</t>
  </si>
  <si>
    <t>Q0015</t>
  </si>
  <si>
    <t>Q0016</t>
  </si>
  <si>
    <t>Q0017</t>
  </si>
  <si>
    <t>Q0018</t>
  </si>
  <si>
    <t>Q0019</t>
  </si>
  <si>
    <t>Q0020</t>
  </si>
  <si>
    <t>Q0021</t>
  </si>
  <si>
    <t>Q0022</t>
  </si>
  <si>
    <t>Q0023</t>
  </si>
  <si>
    <t>Q0024</t>
  </si>
  <si>
    <t>Q0025</t>
  </si>
  <si>
    <t>Q0026</t>
  </si>
  <si>
    <t>Q0027</t>
  </si>
  <si>
    <t>Q0028</t>
  </si>
  <si>
    <t>Q0029</t>
  </si>
  <si>
    <t>Q0030</t>
  </si>
  <si>
    <t>Q0031</t>
  </si>
  <si>
    <t>Q0032</t>
  </si>
  <si>
    <t>Q0033</t>
  </si>
  <si>
    <t>Q0034</t>
  </si>
  <si>
    <t>Q0035</t>
  </si>
  <si>
    <t>Q0036</t>
  </si>
  <si>
    <t>Q0037</t>
  </si>
  <si>
    <t>Q0038</t>
  </si>
  <si>
    <t>Q0039</t>
  </si>
  <si>
    <t>Q0040</t>
  </si>
  <si>
    <t>Q0041</t>
  </si>
  <si>
    <t>Q0042</t>
  </si>
  <si>
    <t>Q0043</t>
  </si>
  <si>
    <t>Q0044</t>
  </si>
  <si>
    <t>Q0045</t>
  </si>
  <si>
    <t>Q0046</t>
  </si>
  <si>
    <t>Q0047</t>
  </si>
  <si>
    <t>Q0048</t>
  </si>
  <si>
    <t>Q0049</t>
  </si>
  <si>
    <t>Q0050</t>
  </si>
  <si>
    <t>Q0051</t>
  </si>
  <si>
    <t>Q0052</t>
  </si>
  <si>
    <t>Q0053</t>
  </si>
  <si>
    <t>Q0054</t>
  </si>
  <si>
    <t>Q0055</t>
  </si>
  <si>
    <t>Q0056</t>
  </si>
  <si>
    <t>Q0057</t>
  </si>
  <si>
    <t>Q0058</t>
  </si>
  <si>
    <t>Q0059</t>
  </si>
  <si>
    <t>Q0060</t>
  </si>
  <si>
    <t>Q0061</t>
  </si>
  <si>
    <t>Q0062</t>
  </si>
  <si>
    <t>Q0063</t>
  </si>
  <si>
    <t>Q0064</t>
  </si>
  <si>
    <t>Q0065</t>
  </si>
  <si>
    <t>Q0066</t>
  </si>
  <si>
    <t>Q0067</t>
  </si>
  <si>
    <t>Q0068</t>
  </si>
  <si>
    <t>Q0069</t>
  </si>
  <si>
    <t>Q0070</t>
  </si>
  <si>
    <t>Q0071</t>
  </si>
  <si>
    <t>Q0072</t>
  </si>
  <si>
    <t>Q0073</t>
  </si>
  <si>
    <t>Q0074</t>
  </si>
  <si>
    <t>Q0075</t>
  </si>
  <si>
    <t>Q0076</t>
  </si>
  <si>
    <t>Q0077</t>
  </si>
  <si>
    <t>Q0078</t>
  </si>
  <si>
    <t>Q0079</t>
  </si>
  <si>
    <t>Q0080</t>
  </si>
  <si>
    <t>Q0081</t>
  </si>
  <si>
    <t>Q0082</t>
  </si>
  <si>
    <t>Q0083</t>
  </si>
  <si>
    <t>Q0084</t>
  </si>
  <si>
    <t>Q0085</t>
  </si>
  <si>
    <t>Q0086</t>
  </si>
  <si>
    <t>Q0087</t>
  </si>
  <si>
    <t>Q0088</t>
  </si>
  <si>
    <t>Q0089</t>
  </si>
  <si>
    <t>Q0090</t>
  </si>
  <si>
    <t>Q0091</t>
  </si>
  <si>
    <t>Q0092</t>
  </si>
  <si>
    <t>Q0093</t>
  </si>
  <si>
    <t>Q0094</t>
  </si>
  <si>
    <t>Q0095</t>
  </si>
  <si>
    <t>Q0096</t>
  </si>
  <si>
    <t>Q0097</t>
  </si>
  <si>
    <t>Q0098</t>
  </si>
  <si>
    <t>Q0099</t>
  </si>
  <si>
    <t>Q0100</t>
  </si>
  <si>
    <t>Q0101</t>
  </si>
  <si>
    <t>Q0102</t>
  </si>
  <si>
    <t>Q0103</t>
  </si>
  <si>
    <t>Q0104</t>
  </si>
  <si>
    <t>Q0105</t>
  </si>
  <si>
    <t>Q0106</t>
  </si>
  <si>
    <t>Q0107</t>
  </si>
  <si>
    <t>Q0108</t>
  </si>
  <si>
    <t>Q0109</t>
  </si>
  <si>
    <t>Q0110</t>
  </si>
  <si>
    <t>Q0111</t>
  </si>
  <si>
    <t>Q0112</t>
  </si>
  <si>
    <t>Q0113</t>
  </si>
  <si>
    <t>Q0114</t>
  </si>
  <si>
    <t>Q0115</t>
  </si>
  <si>
    <t>Q0116</t>
  </si>
  <si>
    <t>Q0117</t>
  </si>
  <si>
    <t>Q0118</t>
  </si>
  <si>
    <t>Q0119</t>
  </si>
  <si>
    <t>Q0120</t>
  </si>
  <si>
    <t>Q0121</t>
  </si>
  <si>
    <t>Q0122</t>
  </si>
  <si>
    <t>Q0123</t>
  </si>
  <si>
    <t>Q0124</t>
  </si>
  <si>
    <t>Q0125</t>
  </si>
  <si>
    <t>Q0126</t>
  </si>
  <si>
    <t>Q0127</t>
  </si>
  <si>
    <t>Q0128</t>
  </si>
  <si>
    <t>Q0129</t>
  </si>
  <si>
    <t>Q0130</t>
  </si>
  <si>
    <t>Q0131</t>
  </si>
  <si>
    <t>Q0132</t>
  </si>
  <si>
    <t>Q0133</t>
  </si>
  <si>
    <t>Q0134</t>
  </si>
  <si>
    <t>Q0135</t>
  </si>
  <si>
    <t>Q0136</t>
  </si>
  <si>
    <t>Q0137</t>
  </si>
  <si>
    <t>Q0138</t>
  </si>
  <si>
    <t>Q0139</t>
  </si>
  <si>
    <t>Q0140</t>
  </si>
  <si>
    <t>Q0141</t>
  </si>
  <si>
    <t>Q0142</t>
  </si>
  <si>
    <t>Q0143</t>
  </si>
  <si>
    <t>Q0144</t>
  </si>
  <si>
    <t>Q0145</t>
  </si>
  <si>
    <t>Q0146</t>
  </si>
  <si>
    <t>Q0147</t>
  </si>
  <si>
    <t>Q0148</t>
  </si>
  <si>
    <t>Q0149</t>
  </si>
  <si>
    <t>Q0150</t>
  </si>
  <si>
    <t>Q0151</t>
  </si>
  <si>
    <t>Q0152</t>
  </si>
  <si>
    <t>Q0153</t>
  </si>
  <si>
    <t>Q0154</t>
  </si>
  <si>
    <t>Q0155</t>
  </si>
  <si>
    <t>Q0156</t>
  </si>
  <si>
    <t>Q0157</t>
  </si>
  <si>
    <t>Q0158</t>
  </si>
  <si>
    <t>Q0159</t>
  </si>
  <si>
    <t>Q0160</t>
  </si>
  <si>
    <t>Q0161</t>
  </si>
  <si>
    <t>Q0162</t>
  </si>
  <si>
    <t>Q0163</t>
  </si>
  <si>
    <t>Q0164</t>
  </si>
  <si>
    <t>Q0165</t>
  </si>
  <si>
    <t>Q0166</t>
  </si>
  <si>
    <t>Q0167</t>
  </si>
  <si>
    <t>Q0168</t>
  </si>
  <si>
    <t>Q0169</t>
  </si>
  <si>
    <t>Q0170</t>
  </si>
  <si>
    <t>Q0171</t>
  </si>
  <si>
    <t>Q0172</t>
  </si>
  <si>
    <t>Q0173</t>
  </si>
  <si>
    <t>Q0174</t>
  </si>
  <si>
    <t>Q0175</t>
  </si>
  <si>
    <t>Q0176</t>
  </si>
  <si>
    <t>Q0177</t>
  </si>
  <si>
    <t>Q0178</t>
  </si>
  <si>
    <t>Q0179</t>
  </si>
  <si>
    <t>Q0180</t>
  </si>
  <si>
    <t>Q0181</t>
  </si>
  <si>
    <t>Q0182</t>
  </si>
  <si>
    <t>Q0183</t>
  </si>
  <si>
    <t>Q0184</t>
  </si>
  <si>
    <t>Q0185</t>
  </si>
  <si>
    <t>Q0186</t>
  </si>
  <si>
    <t>Q0187</t>
  </si>
  <si>
    <t>Q0188</t>
  </si>
  <si>
    <t>Q0189</t>
  </si>
  <si>
    <t>Q0190</t>
  </si>
  <si>
    <t>Q0191</t>
  </si>
  <si>
    <t>Q0192</t>
  </si>
  <si>
    <t>Q0193</t>
  </si>
  <si>
    <t>Q0194</t>
  </si>
  <si>
    <t>Q0195</t>
  </si>
  <si>
    <t>Q0196</t>
  </si>
  <si>
    <t>Q0197</t>
  </si>
  <si>
    <t>Q0198</t>
  </si>
  <si>
    <t>Q0199</t>
  </si>
  <si>
    <t>Q0200</t>
  </si>
  <si>
    <t>Q0201</t>
  </si>
  <si>
    <t>Q0202</t>
  </si>
  <si>
    <t>Q0203</t>
  </si>
  <si>
    <t>Q0204</t>
  </si>
  <si>
    <t>Q0205</t>
  </si>
  <si>
    <t>Q0206</t>
  </si>
  <si>
    <t>Q0207</t>
  </si>
  <si>
    <t>Q0208</t>
  </si>
  <si>
    <t>Q0209</t>
  </si>
  <si>
    <t>Q0210</t>
  </si>
  <si>
    <t>Q0211</t>
  </si>
  <si>
    <t>Q0212</t>
  </si>
  <si>
    <t>Q0213</t>
  </si>
  <si>
    <t>Q0214</t>
  </si>
  <si>
    <t>Q0215</t>
  </si>
  <si>
    <t>Q0216</t>
  </si>
  <si>
    <t>Q0217</t>
  </si>
  <si>
    <t>Q0218</t>
  </si>
  <si>
    <t>Q0219</t>
  </si>
  <si>
    <t>Q0220</t>
  </si>
  <si>
    <t>Q0221</t>
  </si>
  <si>
    <t>Q0222</t>
  </si>
  <si>
    <t>Q0223</t>
  </si>
  <si>
    <t>Q0224</t>
  </si>
  <si>
    <t>Q0225</t>
  </si>
  <si>
    <t>Q0226</t>
  </si>
  <si>
    <t>Q0227</t>
  </si>
  <si>
    <t>Q0228</t>
  </si>
  <si>
    <t>Q0229</t>
  </si>
  <si>
    <t>Q0230</t>
  </si>
  <si>
    <t>Q0231</t>
  </si>
  <si>
    <t>Q0232</t>
  </si>
  <si>
    <t>Q0233</t>
  </si>
  <si>
    <t>Q0234</t>
  </si>
  <si>
    <t>Q0235</t>
  </si>
  <si>
    <t>Q0236</t>
  </si>
  <si>
    <t>Q0237</t>
  </si>
  <si>
    <t>Q0238</t>
  </si>
  <si>
    <t>Q0239</t>
  </si>
  <si>
    <t>Q0240</t>
  </si>
  <si>
    <t>OrderDate</t>
  </si>
  <si>
    <t>RequiredDate</t>
  </si>
  <si>
    <t>POStatus</t>
  </si>
  <si>
    <t>Currency</t>
  </si>
  <si>
    <t>BuyerID</t>
  </si>
  <si>
    <t>FollowUpFlag</t>
  </si>
  <si>
    <t>ActualReceiptDate</t>
  </si>
  <si>
    <t>DeliveryVarianceDays</t>
  </si>
  <si>
    <t>DeliveryPerformance</t>
  </si>
  <si>
    <t>ActualLeadTimeDays</t>
  </si>
  <si>
    <t>PO0001</t>
  </si>
  <si>
    <t>Open</t>
  </si>
  <si>
    <t>GBP</t>
  </si>
  <si>
    <t>B03</t>
  </si>
  <si>
    <t>PO0002</t>
  </si>
  <si>
    <t>Received</t>
  </si>
  <si>
    <t>B04</t>
  </si>
  <si>
    <t>PO0003</t>
  </si>
  <si>
    <t>Overdue</t>
  </si>
  <si>
    <t>B05</t>
  </si>
  <si>
    <t>PO0004</t>
  </si>
  <si>
    <t>PO0005</t>
  </si>
  <si>
    <t>PO0006</t>
  </si>
  <si>
    <t>B02</t>
  </si>
  <si>
    <t>PO0007</t>
  </si>
  <si>
    <t>Partially Received</t>
  </si>
  <si>
    <t>PO0008</t>
  </si>
  <si>
    <t>PO0009</t>
  </si>
  <si>
    <t>B01</t>
  </si>
  <si>
    <t>PO0010</t>
  </si>
  <si>
    <t>PO0011</t>
  </si>
  <si>
    <t>PO0012</t>
  </si>
  <si>
    <t>PO0013</t>
  </si>
  <si>
    <t>PO0014</t>
  </si>
  <si>
    <t>PO0015</t>
  </si>
  <si>
    <t>PO0016</t>
  </si>
  <si>
    <t>PO0017</t>
  </si>
  <si>
    <t>PO0018</t>
  </si>
  <si>
    <t>PO0019</t>
  </si>
  <si>
    <t>PO0020</t>
  </si>
  <si>
    <t>PO0021</t>
  </si>
  <si>
    <t>PO0022</t>
  </si>
  <si>
    <t>PO0023</t>
  </si>
  <si>
    <t>PO0024</t>
  </si>
  <si>
    <t>PO0025</t>
  </si>
  <si>
    <t>PO0026</t>
  </si>
  <si>
    <t>PO0027</t>
  </si>
  <si>
    <t>PO0028</t>
  </si>
  <si>
    <t>PO0029</t>
  </si>
  <si>
    <t>PO0030</t>
  </si>
  <si>
    <t>PO0031</t>
  </si>
  <si>
    <t>PO0032</t>
  </si>
  <si>
    <t>PO0033</t>
  </si>
  <si>
    <t>PO0034</t>
  </si>
  <si>
    <t>PO0035</t>
  </si>
  <si>
    <t>PO0036</t>
  </si>
  <si>
    <t>PO0037</t>
  </si>
  <si>
    <t>PO0038</t>
  </si>
  <si>
    <t>PO0039</t>
  </si>
  <si>
    <t>PO0040</t>
  </si>
  <si>
    <t>PO0041</t>
  </si>
  <si>
    <t>PO0042</t>
  </si>
  <si>
    <t>PO0043</t>
  </si>
  <si>
    <t>PO0044</t>
  </si>
  <si>
    <t>PO0045</t>
  </si>
  <si>
    <t>PO0046</t>
  </si>
  <si>
    <t>PO0047</t>
  </si>
  <si>
    <t>PO0048</t>
  </si>
  <si>
    <t>PO0049</t>
  </si>
  <si>
    <t>PO0050</t>
  </si>
  <si>
    <t>PO0051</t>
  </si>
  <si>
    <t>PO0052</t>
  </si>
  <si>
    <t>PO0053</t>
  </si>
  <si>
    <t>PO0054</t>
  </si>
  <si>
    <t>PO0055</t>
  </si>
  <si>
    <t>PO0056</t>
  </si>
  <si>
    <t>PO0057</t>
  </si>
  <si>
    <t>PO0058</t>
  </si>
  <si>
    <t>PO0059</t>
  </si>
  <si>
    <t>PO0060</t>
  </si>
  <si>
    <t>PO0061</t>
  </si>
  <si>
    <t>PO0062</t>
  </si>
  <si>
    <t>PO0063</t>
  </si>
  <si>
    <t>PO0064</t>
  </si>
  <si>
    <t>PO0065</t>
  </si>
  <si>
    <t>PO0066</t>
  </si>
  <si>
    <t>PO0067</t>
  </si>
  <si>
    <t>PO0068</t>
  </si>
  <si>
    <t>PO0069</t>
  </si>
  <si>
    <t>PO0070</t>
  </si>
  <si>
    <t>PO0071</t>
  </si>
  <si>
    <t>PO0072</t>
  </si>
  <si>
    <t>PO0073</t>
  </si>
  <si>
    <t>PO0074</t>
  </si>
  <si>
    <t>PO0075</t>
  </si>
  <si>
    <t>PO0076</t>
  </si>
  <si>
    <t>PO0077</t>
  </si>
  <si>
    <t>PO0078</t>
  </si>
  <si>
    <t>PO0079</t>
  </si>
  <si>
    <t>PO0080</t>
  </si>
  <si>
    <t>PO0081</t>
  </si>
  <si>
    <t>PO0082</t>
  </si>
  <si>
    <t>PO0083</t>
  </si>
  <si>
    <t>PO0084</t>
  </si>
  <si>
    <t>PO0085</t>
  </si>
  <si>
    <t>PO0086</t>
  </si>
  <si>
    <t>PO0087</t>
  </si>
  <si>
    <t>PO0088</t>
  </si>
  <si>
    <t>PO0089</t>
  </si>
  <si>
    <t>PO0090</t>
  </si>
  <si>
    <t>PO0091</t>
  </si>
  <si>
    <t>PO0092</t>
  </si>
  <si>
    <t>PO0093</t>
  </si>
  <si>
    <t>PO0094</t>
  </si>
  <si>
    <t>PO0095</t>
  </si>
  <si>
    <t>PO0096</t>
  </si>
  <si>
    <t>PO0097</t>
  </si>
  <si>
    <t>PO0098</t>
  </si>
  <si>
    <t>PO0099</t>
  </si>
  <si>
    <t>PO0100</t>
  </si>
  <si>
    <t>PO0101</t>
  </si>
  <si>
    <t>PO0102</t>
  </si>
  <si>
    <t>PO0103</t>
  </si>
  <si>
    <t>PO0104</t>
  </si>
  <si>
    <t>PO0105</t>
  </si>
  <si>
    <t>PO0106</t>
  </si>
  <si>
    <t>PO0107</t>
  </si>
  <si>
    <t>PO0108</t>
  </si>
  <si>
    <t>PO0109</t>
  </si>
  <si>
    <t>PO0110</t>
  </si>
  <si>
    <t>PO0111</t>
  </si>
  <si>
    <t>PO0112</t>
  </si>
  <si>
    <t>PO0113</t>
  </si>
  <si>
    <t>PO0114</t>
  </si>
  <si>
    <t>PO0115</t>
  </si>
  <si>
    <t>PO0116</t>
  </si>
  <si>
    <t>PO0117</t>
  </si>
  <si>
    <t>PO0118</t>
  </si>
  <si>
    <t>PO0119</t>
  </si>
  <si>
    <t>PO0120</t>
  </si>
  <si>
    <t>PO0121</t>
  </si>
  <si>
    <t>PO0122</t>
  </si>
  <si>
    <t>PO0123</t>
  </si>
  <si>
    <t>PO0124</t>
  </si>
  <si>
    <t>PO0125</t>
  </si>
  <si>
    <t>PO0126</t>
  </si>
  <si>
    <t>PO0127</t>
  </si>
  <si>
    <t>PO0128</t>
  </si>
  <si>
    <t>PO0129</t>
  </si>
  <si>
    <t>PO0130</t>
  </si>
  <si>
    <t>PO0131</t>
  </si>
  <si>
    <t>PO0132</t>
  </si>
  <si>
    <t>PO0133</t>
  </si>
  <si>
    <t>PO0134</t>
  </si>
  <si>
    <t>PO0135</t>
  </si>
  <si>
    <t>PO0136</t>
  </si>
  <si>
    <t>PO0137</t>
  </si>
  <si>
    <t>PO0138</t>
  </si>
  <si>
    <t>PO0139</t>
  </si>
  <si>
    <t>PO0140</t>
  </si>
  <si>
    <t>PO0141</t>
  </si>
  <si>
    <t>PO0142</t>
  </si>
  <si>
    <t>PO0143</t>
  </si>
  <si>
    <t>PO0144</t>
  </si>
  <si>
    <t>PO0145</t>
  </si>
  <si>
    <t>PO0146</t>
  </si>
  <si>
    <t>PO0147</t>
  </si>
  <si>
    <t>PO0148</t>
  </si>
  <si>
    <t>PO0149</t>
  </si>
  <si>
    <t>PO0150</t>
  </si>
  <si>
    <t>PO0151</t>
  </si>
  <si>
    <t>PO0152</t>
  </si>
  <si>
    <t>PO0153</t>
  </si>
  <si>
    <t>PO0154</t>
  </si>
  <si>
    <t>PO0155</t>
  </si>
  <si>
    <t>PO0156</t>
  </si>
  <si>
    <t>PO0157</t>
  </si>
  <si>
    <t>PO0158</t>
  </si>
  <si>
    <t>PO0159</t>
  </si>
  <si>
    <t>PO0160</t>
  </si>
  <si>
    <t>PO0161</t>
  </si>
  <si>
    <t>PO0162</t>
  </si>
  <si>
    <t>PO0163</t>
  </si>
  <si>
    <t>PO0164</t>
  </si>
  <si>
    <t>PO0165</t>
  </si>
  <si>
    <t>PO0166</t>
  </si>
  <si>
    <t>PO0167</t>
  </si>
  <si>
    <t>PO0168</t>
  </si>
  <si>
    <t>PO0169</t>
  </si>
  <si>
    <t>PO0170</t>
  </si>
  <si>
    <t>PO0171</t>
  </si>
  <si>
    <t>PO0172</t>
  </si>
  <si>
    <t>PO0173</t>
  </si>
  <si>
    <t>PO0174</t>
  </si>
  <si>
    <t>PO0175</t>
  </si>
  <si>
    <t>PO0176</t>
  </si>
  <si>
    <t>PO0177</t>
  </si>
  <si>
    <t>PO0178</t>
  </si>
  <si>
    <t>PO0179</t>
  </si>
  <si>
    <t>PO0180</t>
  </si>
  <si>
    <t>PO0181</t>
  </si>
  <si>
    <t>PO0182</t>
  </si>
  <si>
    <t>PO0183</t>
  </si>
  <si>
    <t>PO0184</t>
  </si>
  <si>
    <t>PO0185</t>
  </si>
  <si>
    <t>PO0186</t>
  </si>
  <si>
    <t>PO0187</t>
  </si>
  <si>
    <t>PO0188</t>
  </si>
  <si>
    <t>PO0189</t>
  </si>
  <si>
    <t>PO0190</t>
  </si>
  <si>
    <t>PO0191</t>
  </si>
  <si>
    <t>PO0192</t>
  </si>
  <si>
    <t>PO0193</t>
  </si>
  <si>
    <t>PO0194</t>
  </si>
  <si>
    <t>PO0195</t>
  </si>
  <si>
    <t>PO0196</t>
  </si>
  <si>
    <t>PO0197</t>
  </si>
  <si>
    <t>PO0198</t>
  </si>
  <si>
    <t>PO0199</t>
  </si>
  <si>
    <t>PO0200</t>
  </si>
  <si>
    <t>PO0201</t>
  </si>
  <si>
    <t>PO0202</t>
  </si>
  <si>
    <t>PO0203</t>
  </si>
  <si>
    <t>PO0204</t>
  </si>
  <si>
    <t>PO0205</t>
  </si>
  <si>
    <t>PO0206</t>
  </si>
  <si>
    <t>PO0207</t>
  </si>
  <si>
    <t>PO0208</t>
  </si>
  <si>
    <t>PO0209</t>
  </si>
  <si>
    <t>PO0210</t>
  </si>
  <si>
    <t>PO0211</t>
  </si>
  <si>
    <t>PO0212</t>
  </si>
  <si>
    <t>PO0213</t>
  </si>
  <si>
    <t>PO0214</t>
  </si>
  <si>
    <t>PO0215</t>
  </si>
  <si>
    <t>PO0216</t>
  </si>
  <si>
    <t>PO0217</t>
  </si>
  <si>
    <t>PO0218</t>
  </si>
  <si>
    <t>PO0219</t>
  </si>
  <si>
    <t>PO0220</t>
  </si>
  <si>
    <t>PO0221</t>
  </si>
  <si>
    <t>PO0222</t>
  </si>
  <si>
    <t>PO0223</t>
  </si>
  <si>
    <t>PO0224</t>
  </si>
  <si>
    <t>PO0225</t>
  </si>
  <si>
    <t>PO0226</t>
  </si>
  <si>
    <t>PO0227</t>
  </si>
  <si>
    <t>PO0228</t>
  </si>
  <si>
    <t>PO0229</t>
  </si>
  <si>
    <t>PO0230</t>
  </si>
  <si>
    <t>PO0231</t>
  </si>
  <si>
    <t>PO0232</t>
  </si>
  <si>
    <t>PO0233</t>
  </si>
  <si>
    <t>PO0234</t>
  </si>
  <si>
    <t>PO0235</t>
  </si>
  <si>
    <t>PO0236</t>
  </si>
  <si>
    <t>PO0237</t>
  </si>
  <si>
    <t>PO0238</t>
  </si>
  <si>
    <t>PO0239</t>
  </si>
  <si>
    <t>PO0240</t>
  </si>
  <si>
    <t>PO0241</t>
  </si>
  <si>
    <t>PO0242</t>
  </si>
  <si>
    <t>PO0243</t>
  </si>
  <si>
    <t>PO0244</t>
  </si>
  <si>
    <t>PO0245</t>
  </si>
  <si>
    <t>PO0246</t>
  </si>
  <si>
    <t>PO0247</t>
  </si>
  <si>
    <t>PO0248</t>
  </si>
  <si>
    <t>PO0249</t>
  </si>
  <si>
    <t>PO0250</t>
  </si>
  <si>
    <t>PO0251</t>
  </si>
  <si>
    <t>PO0252</t>
  </si>
  <si>
    <t>PO0253</t>
  </si>
  <si>
    <t>PO0254</t>
  </si>
  <si>
    <t>PO0255</t>
  </si>
  <si>
    <t>PO0256</t>
  </si>
  <si>
    <t>PO0257</t>
  </si>
  <si>
    <t>PO0258</t>
  </si>
  <si>
    <t>PO0259</t>
  </si>
  <si>
    <t>PO0260</t>
  </si>
  <si>
    <t>PO0261</t>
  </si>
  <si>
    <t>PO0262</t>
  </si>
  <si>
    <t>PO0263</t>
  </si>
  <si>
    <t>PO0264</t>
  </si>
  <si>
    <t>PO0265</t>
  </si>
  <si>
    <t>PO0266</t>
  </si>
  <si>
    <t>PO0267</t>
  </si>
  <si>
    <t>PO0268</t>
  </si>
  <si>
    <t>PO0269</t>
  </si>
  <si>
    <t>PO0270</t>
  </si>
  <si>
    <t>PO0271</t>
  </si>
  <si>
    <t>PO0272</t>
  </si>
  <si>
    <t>PO0273</t>
  </si>
  <si>
    <t>PO0274</t>
  </si>
  <si>
    <t>PO0275</t>
  </si>
  <si>
    <t>PO0276</t>
  </si>
  <si>
    <t>PO0277</t>
  </si>
  <si>
    <t>PO0278</t>
  </si>
  <si>
    <t>PO0279</t>
  </si>
  <si>
    <t>PO0280</t>
  </si>
  <si>
    <t>PO0281</t>
  </si>
  <si>
    <t>PO0282</t>
  </si>
  <si>
    <t>PO0283</t>
  </si>
  <si>
    <t>PO0284</t>
  </si>
  <si>
    <t>PO0285</t>
  </si>
  <si>
    <t>PO0286</t>
  </si>
  <si>
    <t>PO0287</t>
  </si>
  <si>
    <t>PO0288</t>
  </si>
  <si>
    <t>PO0289</t>
  </si>
  <si>
    <t>PO0290</t>
  </si>
  <si>
    <t>PO0291</t>
  </si>
  <si>
    <t>PO0292</t>
  </si>
  <si>
    <t>PO0293</t>
  </si>
  <si>
    <t>PO0294</t>
  </si>
  <si>
    <t>PO0295</t>
  </si>
  <si>
    <t>PO0296</t>
  </si>
  <si>
    <t>PO0297</t>
  </si>
  <si>
    <t>PO0298</t>
  </si>
  <si>
    <t>PO0299</t>
  </si>
  <si>
    <t>PO0300</t>
  </si>
  <si>
    <t>PO0301</t>
  </si>
  <si>
    <t>PO0302</t>
  </si>
  <si>
    <t>PO0303</t>
  </si>
  <si>
    <t>PO0304</t>
  </si>
  <si>
    <t>PO0305</t>
  </si>
  <si>
    <t>PO0306</t>
  </si>
  <si>
    <t>PO0307</t>
  </si>
  <si>
    <t>PO0308</t>
  </si>
  <si>
    <t>PO0309</t>
  </si>
  <si>
    <t>PO0310</t>
  </si>
  <si>
    <t>PO0311</t>
  </si>
  <si>
    <t>PO0312</t>
  </si>
  <si>
    <t>PO0313</t>
  </si>
  <si>
    <t>PO0314</t>
  </si>
  <si>
    <t>PO0315</t>
  </si>
  <si>
    <t>PO0316</t>
  </si>
  <si>
    <t>PO0317</t>
  </si>
  <si>
    <t>PO0318</t>
  </si>
  <si>
    <t>PO0319</t>
  </si>
  <si>
    <t>PO0320</t>
  </si>
  <si>
    <t>OrderCount</t>
  </si>
  <si>
    <t>Urgent Follow-Up</t>
  </si>
  <si>
    <t>Monitor</t>
  </si>
  <si>
    <t>Complete</t>
  </si>
  <si>
    <t>Check Status</t>
  </si>
  <si>
    <t>Total Orders</t>
  </si>
  <si>
    <t>OrderedUnits</t>
  </si>
  <si>
    <t>UnitPriceGBP</t>
  </si>
  <si>
    <t>LineValueGBP</t>
  </si>
  <si>
    <t>ReceivedUnits</t>
  </si>
  <si>
    <t>POL000101</t>
  </si>
  <si>
    <t>POL000201</t>
  </si>
  <si>
    <t>POL000301</t>
  </si>
  <si>
    <t>POL000401</t>
  </si>
  <si>
    <t>POL000501</t>
  </si>
  <si>
    <t>POL000601</t>
  </si>
  <si>
    <t>POL000701</t>
  </si>
  <si>
    <t>POL000801</t>
  </si>
  <si>
    <t>POL000901</t>
  </si>
  <si>
    <t>POL001001</t>
  </si>
  <si>
    <t>POL001101</t>
  </si>
  <si>
    <t>POL001201</t>
  </si>
  <si>
    <t>POL001301</t>
  </si>
  <si>
    <t>POL001401</t>
  </si>
  <si>
    <t>POL001501</t>
  </si>
  <si>
    <t>POL001601</t>
  </si>
  <si>
    <t>POL001701</t>
  </si>
  <si>
    <t>POL001801</t>
  </si>
  <si>
    <t>POL001901</t>
  </si>
  <si>
    <t>POL002001</t>
  </si>
  <si>
    <t>POL002101</t>
  </si>
  <si>
    <t>POL002201</t>
  </si>
  <si>
    <t>POL002301</t>
  </si>
  <si>
    <t>POL002401</t>
  </si>
  <si>
    <t>POL002501</t>
  </si>
  <si>
    <t>POL002601</t>
  </si>
  <si>
    <t>POL002701</t>
  </si>
  <si>
    <t>POL002801</t>
  </si>
  <si>
    <t>POL002901</t>
  </si>
  <si>
    <t>POL003001</t>
  </si>
  <si>
    <t>POL003101</t>
  </si>
  <si>
    <t>POL003201</t>
  </si>
  <si>
    <t>POL003301</t>
  </si>
  <si>
    <t>POL003401</t>
  </si>
  <si>
    <t>POL003501</t>
  </si>
  <si>
    <t>POL003601</t>
  </si>
  <si>
    <t>POL003701</t>
  </si>
  <si>
    <t>POL003801</t>
  </si>
  <si>
    <t>POL003901</t>
  </si>
  <si>
    <t>POL004001</t>
  </si>
  <si>
    <t>POL004101</t>
  </si>
  <si>
    <t>POL004201</t>
  </si>
  <si>
    <t>POL004301</t>
  </si>
  <si>
    <t>POL004401</t>
  </si>
  <si>
    <t>POL004501</t>
  </si>
  <si>
    <t>POL004601</t>
  </si>
  <si>
    <t>POL004701</t>
  </si>
  <si>
    <t>POL004801</t>
  </si>
  <si>
    <t>POL004901</t>
  </si>
  <si>
    <t>POL005001</t>
  </si>
  <si>
    <t>POL005101</t>
  </si>
  <si>
    <t>POL005201</t>
  </si>
  <si>
    <t>POL005301</t>
  </si>
  <si>
    <t>POL005401</t>
  </si>
  <si>
    <t>POL005501</t>
  </si>
  <si>
    <t>POL005601</t>
  </si>
  <si>
    <t>POL005701</t>
  </si>
  <si>
    <t>POL005801</t>
  </si>
  <si>
    <t>POL005901</t>
  </si>
  <si>
    <t>POL006001</t>
  </si>
  <si>
    <t>POL006101</t>
  </si>
  <si>
    <t>POL006201</t>
  </si>
  <si>
    <t>POL006301</t>
  </si>
  <si>
    <t>POL006401</t>
  </si>
  <si>
    <t>POL006501</t>
  </si>
  <si>
    <t>POL006601</t>
  </si>
  <si>
    <t>POL006701</t>
  </si>
  <si>
    <t>POL006801</t>
  </si>
  <si>
    <t>POL006901</t>
  </si>
  <si>
    <t>POL007001</t>
  </si>
  <si>
    <t>POL007101</t>
  </si>
  <si>
    <t>POL007201</t>
  </si>
  <si>
    <t>POL007301</t>
  </si>
  <si>
    <t>POL007401</t>
  </si>
  <si>
    <t>POL007501</t>
  </si>
  <si>
    <t>POL007601</t>
  </si>
  <si>
    <t>POL007701</t>
  </si>
  <si>
    <t>POL007801</t>
  </si>
  <si>
    <t>POL007901</t>
  </si>
  <si>
    <t>POL008001</t>
  </si>
  <si>
    <t>POL008101</t>
  </si>
  <si>
    <t>POL008201</t>
  </si>
  <si>
    <t>POL008301</t>
  </si>
  <si>
    <t>POL008401</t>
  </si>
  <si>
    <t>POL008501</t>
  </si>
  <si>
    <t>POL008601</t>
  </si>
  <si>
    <t>POL008701</t>
  </si>
  <si>
    <t>POL008801</t>
  </si>
  <si>
    <t>POL008901</t>
  </si>
  <si>
    <t>POL009001</t>
  </si>
  <si>
    <t>POL009101</t>
  </si>
  <si>
    <t>POL009201</t>
  </si>
  <si>
    <t>POL009301</t>
  </si>
  <si>
    <t>POL009401</t>
  </si>
  <si>
    <t>POL009501</t>
  </si>
  <si>
    <t>POL009601</t>
  </si>
  <si>
    <t>POL009701</t>
  </si>
  <si>
    <t>POL009801</t>
  </si>
  <si>
    <t>POL009901</t>
  </si>
  <si>
    <t>POL010001</t>
  </si>
  <si>
    <t>POL010101</t>
  </si>
  <si>
    <t>POL010201</t>
  </si>
  <si>
    <t>POL010301</t>
  </si>
  <si>
    <t>POL010401</t>
  </si>
  <si>
    <t>POL010501</t>
  </si>
  <si>
    <t>POL010601</t>
  </si>
  <si>
    <t>POL010701</t>
  </si>
  <si>
    <t>POL010801</t>
  </si>
  <si>
    <t>POL010901</t>
  </si>
  <si>
    <t>POL011001</t>
  </si>
  <si>
    <t>POL011101</t>
  </si>
  <si>
    <t>POL011201</t>
  </si>
  <si>
    <t>POL011301</t>
  </si>
  <si>
    <t>POL011401</t>
  </si>
  <si>
    <t>POL011501</t>
  </si>
  <si>
    <t>POL011601</t>
  </si>
  <si>
    <t>POL011701</t>
  </si>
  <si>
    <t>POL011801</t>
  </si>
  <si>
    <t>POL011901</t>
  </si>
  <si>
    <t>POL012001</t>
  </si>
  <si>
    <t>POL012101</t>
  </si>
  <si>
    <t>POL012201</t>
  </si>
  <si>
    <t>POL012301</t>
  </si>
  <si>
    <t>POL012401</t>
  </si>
  <si>
    <t>POL012501</t>
  </si>
  <si>
    <t>POL012601</t>
  </si>
  <si>
    <t>POL012701</t>
  </si>
  <si>
    <t>POL012801</t>
  </si>
  <si>
    <t>POL012901</t>
  </si>
  <si>
    <t>POL013001</t>
  </si>
  <si>
    <t>POL013101</t>
  </si>
  <si>
    <t>POL013201</t>
  </si>
  <si>
    <t>POL013301</t>
  </si>
  <si>
    <t>POL013401</t>
  </si>
  <si>
    <t>POL013501</t>
  </si>
  <si>
    <t>POL013601</t>
  </si>
  <si>
    <t>POL013701</t>
  </si>
  <si>
    <t>POL013801</t>
  </si>
  <si>
    <t>POL013901</t>
  </si>
  <si>
    <t>POL014001</t>
  </si>
  <si>
    <t>POL014101</t>
  </si>
  <si>
    <t>POL014201</t>
  </si>
  <si>
    <t>POL014301</t>
  </si>
  <si>
    <t>POL014401</t>
  </si>
  <si>
    <t>POL014501</t>
  </si>
  <si>
    <t>POL014601</t>
  </si>
  <si>
    <t>POL014701</t>
  </si>
  <si>
    <t>POL014801</t>
  </si>
  <si>
    <t>POL014901</t>
  </si>
  <si>
    <t>POL015001</t>
  </si>
  <si>
    <t>POL015101</t>
  </si>
  <si>
    <t>POL015201</t>
  </si>
  <si>
    <t>POL015301</t>
  </si>
  <si>
    <t>POL015401</t>
  </si>
  <si>
    <t>POL015501</t>
  </si>
  <si>
    <t>POL015601</t>
  </si>
  <si>
    <t>POL015701</t>
  </si>
  <si>
    <t>POL015801</t>
  </si>
  <si>
    <t>POL015901</t>
  </si>
  <si>
    <t>POL016001</t>
  </si>
  <si>
    <t>POL016101</t>
  </si>
  <si>
    <t>POL016201</t>
  </si>
  <si>
    <t>POL016301</t>
  </si>
  <si>
    <t>POL016401</t>
  </si>
  <si>
    <t>POL016501</t>
  </si>
  <si>
    <t>POL016601</t>
  </si>
  <si>
    <t>POL016701</t>
  </si>
  <si>
    <t>POL016801</t>
  </si>
  <si>
    <t>POL016901</t>
  </si>
  <si>
    <t>POL017001</t>
  </si>
  <si>
    <t>POL017101</t>
  </si>
  <si>
    <t>POL017201</t>
  </si>
  <si>
    <t>POL017301</t>
  </si>
  <si>
    <t>POL017401</t>
  </si>
  <si>
    <t>POL017501</t>
  </si>
  <si>
    <t>POL017601</t>
  </si>
  <si>
    <t>POL017701</t>
  </si>
  <si>
    <t>POL017801</t>
  </si>
  <si>
    <t>POL017901</t>
  </si>
  <si>
    <t>POL018001</t>
  </si>
  <si>
    <t>POL018101</t>
  </si>
  <si>
    <t>POL018201</t>
  </si>
  <si>
    <t>POL018301</t>
  </si>
  <si>
    <t>POL018401</t>
  </si>
  <si>
    <t>POL018501</t>
  </si>
  <si>
    <t>POL018601</t>
  </si>
  <si>
    <t>POL018701</t>
  </si>
  <si>
    <t>POL018801</t>
  </si>
  <si>
    <t>POL018901</t>
  </si>
  <si>
    <t>POL019001</t>
  </si>
  <si>
    <t>POL019101</t>
  </si>
  <si>
    <t>POL019201</t>
  </si>
  <si>
    <t>POL019301</t>
  </si>
  <si>
    <t>POL019401</t>
  </si>
  <si>
    <t>POL019501</t>
  </si>
  <si>
    <t>POL019601</t>
  </si>
  <si>
    <t>POL019701</t>
  </si>
  <si>
    <t>POL019801</t>
  </si>
  <si>
    <t>POL019901</t>
  </si>
  <si>
    <t>POL020001</t>
  </si>
  <si>
    <t>POL020101</t>
  </si>
  <si>
    <t>POL020201</t>
  </si>
  <si>
    <t>POL020301</t>
  </si>
  <si>
    <t>POL020401</t>
  </si>
  <si>
    <t>POL020501</t>
  </si>
  <si>
    <t>POL020601</t>
  </si>
  <si>
    <t>POL020701</t>
  </si>
  <si>
    <t>POL020801</t>
  </si>
  <si>
    <t>POL020901</t>
  </si>
  <si>
    <t>POL021001</t>
  </si>
  <si>
    <t>POL021101</t>
  </si>
  <si>
    <t>POL021201</t>
  </si>
  <si>
    <t>POL021301</t>
  </si>
  <si>
    <t>POL021401</t>
  </si>
  <si>
    <t>POL021501</t>
  </si>
  <si>
    <t>POL021601</t>
  </si>
  <si>
    <t>POL021701</t>
  </si>
  <si>
    <t>POL021801</t>
  </si>
  <si>
    <t>POL021901</t>
  </si>
  <si>
    <t>POL022001</t>
  </si>
  <si>
    <t>POL022101</t>
  </si>
  <si>
    <t>POL022201</t>
  </si>
  <si>
    <t>POL022301</t>
  </si>
  <si>
    <t>POL022401</t>
  </si>
  <si>
    <t>POL022501</t>
  </si>
  <si>
    <t>POL022601</t>
  </si>
  <si>
    <t>POL022701</t>
  </si>
  <si>
    <t>POL022801</t>
  </si>
  <si>
    <t>POL022901</t>
  </si>
  <si>
    <t>POL023001</t>
  </si>
  <si>
    <t>POL023101</t>
  </si>
  <si>
    <t>POL023201</t>
  </si>
  <si>
    <t>POL023301</t>
  </si>
  <si>
    <t>POL023401</t>
  </si>
  <si>
    <t>POL023501</t>
  </si>
  <si>
    <t>POL023601</t>
  </si>
  <si>
    <t>POL023701</t>
  </si>
  <si>
    <t>POL023801</t>
  </si>
  <si>
    <t>POL023901</t>
  </si>
  <si>
    <t>POL024001</t>
  </si>
  <si>
    <t>POL024101</t>
  </si>
  <si>
    <t>POL024201</t>
  </si>
  <si>
    <t>POL024301</t>
  </si>
  <si>
    <t>POL024401</t>
  </si>
  <si>
    <t>POL024501</t>
  </si>
  <si>
    <t>POL024601</t>
  </si>
  <si>
    <t>POL024701</t>
  </si>
  <si>
    <t>POL024801</t>
  </si>
  <si>
    <t>POL024901</t>
  </si>
  <si>
    <t>POL025001</t>
  </si>
  <si>
    <t>POL025101</t>
  </si>
  <si>
    <t>POL025201</t>
  </si>
  <si>
    <t>POL025301</t>
  </si>
  <si>
    <t>POL025401</t>
  </si>
  <si>
    <t>POL025501</t>
  </si>
  <si>
    <t>POL025601</t>
  </si>
  <si>
    <t>POL025701</t>
  </si>
  <si>
    <t>POL025801</t>
  </si>
  <si>
    <t>POL025901</t>
  </si>
  <si>
    <t>POL026001</t>
  </si>
  <si>
    <t>POL026101</t>
  </si>
  <si>
    <t>POL026201</t>
  </si>
  <si>
    <t>POL026301</t>
  </si>
  <si>
    <t>POL026401</t>
  </si>
  <si>
    <t>POL026501</t>
  </si>
  <si>
    <t>POL026601</t>
  </si>
  <si>
    <t>POL026701</t>
  </si>
  <si>
    <t>POL026801</t>
  </si>
  <si>
    <t>POL026901</t>
  </si>
  <si>
    <t>POL027001</t>
  </si>
  <si>
    <t>POL027101</t>
  </si>
  <si>
    <t>POL027201</t>
  </si>
  <si>
    <t>POL027301</t>
  </si>
  <si>
    <t>POL027401</t>
  </si>
  <si>
    <t>POL027501</t>
  </si>
  <si>
    <t>POL027601</t>
  </si>
  <si>
    <t>POL027701</t>
  </si>
  <si>
    <t>POL027801</t>
  </si>
  <si>
    <t>POL027901</t>
  </si>
  <si>
    <t>POL028001</t>
  </si>
  <si>
    <t>POL028101</t>
  </si>
  <si>
    <t>POL028201</t>
  </si>
  <si>
    <t>POL028301</t>
  </si>
  <si>
    <t>POL028401</t>
  </si>
  <si>
    <t>POL028501</t>
  </si>
  <si>
    <t>POL028601</t>
  </si>
  <si>
    <t>POL028701</t>
  </si>
  <si>
    <t>POL028801</t>
  </si>
  <si>
    <t>POL028901</t>
  </si>
  <si>
    <t>POL029001</t>
  </si>
  <si>
    <t>POL029101</t>
  </si>
  <si>
    <t>POL029201</t>
  </si>
  <si>
    <t>POL029301</t>
  </si>
  <si>
    <t>POL029401</t>
  </si>
  <si>
    <t>POL029501</t>
  </si>
  <si>
    <t>POL029601</t>
  </si>
  <si>
    <t>POL029701</t>
  </si>
  <si>
    <t>POL029801</t>
  </si>
  <si>
    <t>POL029901</t>
  </si>
  <si>
    <t>POL030001</t>
  </si>
  <si>
    <t>POL030101</t>
  </si>
  <si>
    <t>POL030201</t>
  </si>
  <si>
    <t>POL030301</t>
  </si>
  <si>
    <t>POL030401</t>
  </si>
  <si>
    <t>POL030501</t>
  </si>
  <si>
    <t>POL030601</t>
  </si>
  <si>
    <t>POL030701</t>
  </si>
  <si>
    <t>POL030801</t>
  </si>
  <si>
    <t>POL030901</t>
  </si>
  <si>
    <t>POL031001</t>
  </si>
  <si>
    <t>POL031101</t>
  </si>
  <si>
    <t>POL031201</t>
  </si>
  <si>
    <t>POL031301</t>
  </si>
  <si>
    <t>POL031401</t>
  </si>
  <si>
    <t>POL031501</t>
  </si>
  <si>
    <t>POL031601</t>
  </si>
  <si>
    <t>POL031701</t>
  </si>
  <si>
    <t>POL031801</t>
  </si>
  <si>
    <t>POL031901</t>
  </si>
  <si>
    <t>POL032001</t>
  </si>
  <si>
    <t>SupplierConfirmedDate</t>
  </si>
  <si>
    <t>DispatchDate</t>
  </si>
  <si>
    <t>InspectionCompleteDate</t>
  </si>
  <si>
    <t>DelayReason</t>
  </si>
  <si>
    <t/>
  </si>
  <si>
    <t>Documentation</t>
  </si>
  <si>
    <t>None</t>
  </si>
  <si>
    <t>Transport</t>
  </si>
  <si>
    <t>Quality Hold</t>
  </si>
  <si>
    <t>Capacity</t>
  </si>
  <si>
    <t>SnapshotDate</t>
  </si>
  <si>
    <t>OnHandUnits</t>
  </si>
  <si>
    <t>OpenPOUnits</t>
  </si>
  <si>
    <t>MonthlyDemandUnits</t>
  </si>
  <si>
    <t>ReorderReviewFlag</t>
  </si>
  <si>
    <t>Month</t>
  </si>
  <si>
    <t>UnitsSold</t>
  </si>
  <si>
    <t>RevenueGBP</t>
  </si>
  <si>
    <t>Quarter</t>
  </si>
  <si>
    <t>OnTimeDeliveryPct</t>
  </si>
  <si>
    <t>QualityAcceptancePct</t>
  </si>
  <si>
    <t>PriceVariancePct</t>
  </si>
  <si>
    <t>ResponsivenessScore</t>
  </si>
  <si>
    <t>CompliancePct</t>
  </si>
  <si>
    <t>SupplierScore</t>
  </si>
  <si>
    <t>2025-Q2</t>
  </si>
  <si>
    <t>2025-Q4</t>
  </si>
  <si>
    <t>2025-Q1</t>
  </si>
  <si>
    <t>2025-Q3</t>
  </si>
  <si>
    <t>AverageSupplierScore</t>
  </si>
  <si>
    <t>PerformanceCategory</t>
  </si>
  <si>
    <t>SupplierCount</t>
  </si>
  <si>
    <t>LateOrderCount</t>
  </si>
  <si>
    <t>ReceivedOrderCount</t>
  </si>
  <si>
    <t>AverageLeadTimeDays</t>
  </si>
  <si>
    <t>OnTimeOrEarlyRate</t>
  </si>
  <si>
    <t>TotalSpendGBP</t>
  </si>
  <si>
    <t>SpendSharePct</t>
  </si>
  <si>
    <t>Total Supplier Spend</t>
  </si>
  <si>
    <t>UrgentOrderCount</t>
  </si>
  <si>
    <t>FollowUpPriority</t>
  </si>
  <si>
    <t>AgencyName</t>
  </si>
  <si>
    <t>Specialism</t>
  </si>
  <si>
    <t>PreferredAgency</t>
  </si>
  <si>
    <t>A001</t>
  </si>
  <si>
    <t>Creator Agency 01</t>
  </si>
  <si>
    <t>Gaming</t>
  </si>
  <si>
    <t>A002</t>
  </si>
  <si>
    <t>Creator Agency 02</t>
  </si>
  <si>
    <t>A003</t>
  </si>
  <si>
    <t>Creator Agency 03</t>
  </si>
  <si>
    <t>Fitness</t>
  </si>
  <si>
    <t>A004</t>
  </si>
  <si>
    <t>Creator Agency 04</t>
  </si>
  <si>
    <t>A005</t>
  </si>
  <si>
    <t>Creator Agency 05</t>
  </si>
  <si>
    <t>Home</t>
  </si>
  <si>
    <t>A006</t>
  </si>
  <si>
    <t>Creator Agency 06</t>
  </si>
  <si>
    <t>A007</t>
  </si>
  <si>
    <t>Creator Agency 07</t>
  </si>
  <si>
    <t>A008</t>
  </si>
  <si>
    <t>Creator Agency 08</t>
  </si>
  <si>
    <t>Lifestyle</t>
  </si>
  <si>
    <t>A009</t>
  </si>
  <si>
    <t>Creator Agency 09</t>
  </si>
  <si>
    <t>A010</t>
  </si>
  <si>
    <t>Creator Agency 10</t>
  </si>
  <si>
    <t>A011</t>
  </si>
  <si>
    <t>Creator Agency 11</t>
  </si>
  <si>
    <t>A012</t>
  </si>
  <si>
    <t>Creator Agency 12</t>
  </si>
  <si>
    <t>A013</t>
  </si>
  <si>
    <t>Creator Agency 13</t>
  </si>
  <si>
    <t>A014</t>
  </si>
  <si>
    <t>Creator Agency 14</t>
  </si>
  <si>
    <t>A015</t>
  </si>
  <si>
    <t>Creator Agency 15</t>
  </si>
  <si>
    <t>CampaignName</t>
  </si>
  <si>
    <t>StartDate</t>
  </si>
  <si>
    <t>BudgetGBP</t>
  </si>
  <si>
    <t>ActualSpendGBP</t>
  </si>
  <si>
    <t>CampaignStatus</t>
  </si>
  <si>
    <t>PrimaryKPI</t>
  </si>
  <si>
    <t>C001</t>
  </si>
  <si>
    <t>Campaign 001</t>
  </si>
  <si>
    <t>In Progress</t>
  </si>
  <si>
    <t>Clicks</t>
  </si>
  <si>
    <t>C002</t>
  </si>
  <si>
    <t>Campaign 002</t>
  </si>
  <si>
    <t>C003</t>
  </si>
  <si>
    <t>Campaign 003</t>
  </si>
  <si>
    <t>Planned</t>
  </si>
  <si>
    <t>Engagement</t>
  </si>
  <si>
    <t>C004</t>
  </si>
  <si>
    <t>Campaign 004</t>
  </si>
  <si>
    <t>Conversions</t>
  </si>
  <si>
    <t>C005</t>
  </si>
  <si>
    <t>Campaign 005</t>
  </si>
  <si>
    <t>C006</t>
  </si>
  <si>
    <t>Campaign 006</t>
  </si>
  <si>
    <t>Completed</t>
  </si>
  <si>
    <t>C007</t>
  </si>
  <si>
    <t>Campaign 007</t>
  </si>
  <si>
    <t>On Hold</t>
  </si>
  <si>
    <t>C008</t>
  </si>
  <si>
    <t>Campaign 008</t>
  </si>
  <si>
    <t>C009</t>
  </si>
  <si>
    <t>Campaign 009</t>
  </si>
  <si>
    <t>Reach</t>
  </si>
  <si>
    <t>C010</t>
  </si>
  <si>
    <t>Campaign 010</t>
  </si>
  <si>
    <t>C011</t>
  </si>
  <si>
    <t>Campaign 011</t>
  </si>
  <si>
    <t>C012</t>
  </si>
  <si>
    <t>Campaign 012</t>
  </si>
  <si>
    <t>C013</t>
  </si>
  <si>
    <t>Campaign 013</t>
  </si>
  <si>
    <t>C014</t>
  </si>
  <si>
    <t>Campaign 014</t>
  </si>
  <si>
    <t>C015</t>
  </si>
  <si>
    <t>Campaign 015</t>
  </si>
  <si>
    <t>C016</t>
  </si>
  <si>
    <t>Campaign 016</t>
  </si>
  <si>
    <t>C017</t>
  </si>
  <si>
    <t>Campaign 017</t>
  </si>
  <si>
    <t>C018</t>
  </si>
  <si>
    <t>Campaign 018</t>
  </si>
  <si>
    <t>C019</t>
  </si>
  <si>
    <t>Campaign 019</t>
  </si>
  <si>
    <t>C020</t>
  </si>
  <si>
    <t>Campaign 020</t>
  </si>
  <si>
    <t>C021</t>
  </si>
  <si>
    <t>Campaign 021</t>
  </si>
  <si>
    <t>C022</t>
  </si>
  <si>
    <t>Campaign 022</t>
  </si>
  <si>
    <t>C023</t>
  </si>
  <si>
    <t>Campaign 023</t>
  </si>
  <si>
    <t>C024</t>
  </si>
  <si>
    <t>Campaign 024</t>
  </si>
  <si>
    <t>C025</t>
  </si>
  <si>
    <t>Campaign 025</t>
  </si>
  <si>
    <t>C026</t>
  </si>
  <si>
    <t>Campaign 026</t>
  </si>
  <si>
    <t>C027</t>
  </si>
  <si>
    <t>Campaign 027</t>
  </si>
  <si>
    <t>C028</t>
  </si>
  <si>
    <t>Campaign 028</t>
  </si>
  <si>
    <t>C029</t>
  </si>
  <si>
    <t>Campaign 029</t>
  </si>
  <si>
    <t>C030</t>
  </si>
  <si>
    <t>Campaign 030</t>
  </si>
  <si>
    <t>C031</t>
  </si>
  <si>
    <t>Campaign 031</t>
  </si>
  <si>
    <t>C032</t>
  </si>
  <si>
    <t>Campaign 032</t>
  </si>
  <si>
    <t>C033</t>
  </si>
  <si>
    <t>Campaign 033</t>
  </si>
  <si>
    <t>C034</t>
  </si>
  <si>
    <t>Campaign 034</t>
  </si>
  <si>
    <t>C035</t>
  </si>
  <si>
    <t>Campaign 035</t>
  </si>
  <si>
    <t>C036</t>
  </si>
  <si>
    <t>Campaign 036</t>
  </si>
  <si>
    <t>C037</t>
  </si>
  <si>
    <t>Campaign 037</t>
  </si>
  <si>
    <t>C038</t>
  </si>
  <si>
    <t>Campaign 038</t>
  </si>
  <si>
    <t>C039</t>
  </si>
  <si>
    <t>Campaign 039</t>
  </si>
  <si>
    <t>C040</t>
  </si>
  <si>
    <t>Campaign 040</t>
  </si>
  <si>
    <t>C041</t>
  </si>
  <si>
    <t>Campaign 041</t>
  </si>
  <si>
    <t>C042</t>
  </si>
  <si>
    <t>Campaign 042</t>
  </si>
  <si>
    <t>C043</t>
  </si>
  <si>
    <t>Campaign 043</t>
  </si>
  <si>
    <t>C044</t>
  </si>
  <si>
    <t>Campaign 044</t>
  </si>
  <si>
    <t>C045</t>
  </si>
  <si>
    <t>Campaign 045</t>
  </si>
  <si>
    <t>C046</t>
  </si>
  <si>
    <t>Campaign 046</t>
  </si>
  <si>
    <t>C047</t>
  </si>
  <si>
    <t>Campaign 047</t>
  </si>
  <si>
    <t>C048</t>
  </si>
  <si>
    <t>Campaign 048</t>
  </si>
  <si>
    <t>C049</t>
  </si>
  <si>
    <t>Campaign 049</t>
  </si>
  <si>
    <t>C050</t>
  </si>
  <si>
    <t>Campaign 050</t>
  </si>
  <si>
    <t>C051</t>
  </si>
  <si>
    <t>Campaign 051</t>
  </si>
  <si>
    <t>C052</t>
  </si>
  <si>
    <t>Campaign 052</t>
  </si>
  <si>
    <t>C053</t>
  </si>
  <si>
    <t>Campaign 053</t>
  </si>
  <si>
    <t>C054</t>
  </si>
  <si>
    <t>Campaign 054</t>
  </si>
  <si>
    <t>C055</t>
  </si>
  <si>
    <t>Campaign 055</t>
  </si>
  <si>
    <t>C056</t>
  </si>
  <si>
    <t>Campaign 056</t>
  </si>
  <si>
    <t>C057</t>
  </si>
  <si>
    <t>Campaign 057</t>
  </si>
  <si>
    <t>C058</t>
  </si>
  <si>
    <t>Campaign 058</t>
  </si>
  <si>
    <t>C059</t>
  </si>
  <si>
    <t>Campaign 059</t>
  </si>
  <si>
    <t>C060</t>
  </si>
  <si>
    <t>Campaign 060</t>
  </si>
  <si>
    <t>CreatorCount</t>
  </si>
  <si>
    <t>EngagementRatePct</t>
  </si>
  <si>
    <t>CostPerEngagementGBP</t>
  </si>
  <si>
    <t>DeliverablesOnTimePct</t>
  </si>
  <si>
    <t>ContractSigned</t>
  </si>
  <si>
    <t>DisclosureCompliantPct</t>
  </si>
  <si>
    <t>UsageRightsConfirmed</t>
  </si>
  <si>
    <t>PrivacyCheckComplete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</si>
</sst>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\ hh:mm:ss"/>
    <numFmt numFmtId="177" formatCode="0.0_);[Red]\(0.0\)"/>
    <numFmt numFmtId="178" formatCode="0.0%"/>
    <numFmt numFmtId="179" formatCode="dd/mm/yyyy;@"/>
    <numFmt numFmtId="180" formatCode="_-* #,##0_-;\-* #,##0_-;_-* &quot;-&quot;??_-;_-@_-"/>
    <numFmt numFmtId="181" formatCode="0_);[Red]\(0\)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176" fontId="0" fillId="0" borderId="0" xfId="0" applyNumberFormat="1"/>
    <xf numFmtId="10" fontId="0" fillId="0" borderId="0" xfId="0" applyNumberFormat="1"/>
    <xf numFmtId="44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0" fillId="0" borderId="0" xfId="0" applyNumberFormat="1"/>
    <xf numFmtId="179" fontId="0" fillId="0" borderId="0" xfId="0" applyNumberFormat="1"/>
    <xf numFmtId="180" fontId="0" fillId="0" borderId="0" xfId="1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Order Follow-Up Summary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POSummary!$B$1</c:f>
              <c:strCache>
                <c:ptCount val="1"/>
                <c:pt idx="0">
                  <c:v>OrderCount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POSummary!$A$2:$A$6</c:f>
              <c:strCache>
                <c:ptCount val="5"/>
                <c:pt idx="0">
                  <c:v>Urgent Follow-Up</c:v>
                </c:pt>
                <c:pt idx="1">
                  <c:v>Monitor</c:v>
                </c:pt>
                <c:pt idx="2">
                  <c:v>Complete</c:v>
                </c:pt>
                <c:pt idx="3">
                  <c:v>Check Status</c:v>
                </c:pt>
                <c:pt idx="4">
                  <c:v>Total Orders</c:v>
                </c:pt>
              </c:strCache>
            </c:strRef>
          </c:cat>
          <c:val>
            <c:numRef>
              <c:f>POSummary!$B$2:$B$6</c:f>
              <c:numCache>
                <c:formatCode>General</c:formatCode>
                <c:ptCount val="5"/>
                <c:pt idx="0">
                  <c:v>35</c:v>
                </c:pt>
                <c:pt idx="1">
                  <c:v>108</c:v>
                </c:pt>
                <c:pt idx="2">
                  <c:v>177</c:v>
                </c:pt>
                <c:pt idx="3">
                  <c:v>0</c:v>
                </c:pt>
                <c:pt idx="4">
                  <c:v>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91106612"/>
        <c:axId val="859029409"/>
      </c:barChart>
      <c:catAx>
        <c:axId val="2911066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029409"/>
        <c:crosses val="autoZero"/>
        <c:auto val="1"/>
        <c:lblAlgn val="ctr"/>
        <c:lblOffset val="100"/>
        <c:noMultiLvlLbl val="0"/>
      </c:catAx>
      <c:valAx>
        <c:axId val="8590294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11066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Supplier Performance Category Summary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SupplierSummary!$G$1</c:f>
              <c:strCache>
                <c:ptCount val="1"/>
                <c:pt idx="0">
                  <c:v>SupplierCount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SupplierSummary!$F$2:$F$4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SupplierSummary!$G$2:$G$4</c:f>
              <c:numCache>
                <c:formatCode>General</c:formatCode>
                <c:ptCount val="3"/>
                <c:pt idx="0">
                  <c:v>0</c:v>
                </c:pt>
                <c:pt idx="1">
                  <c:v>18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06691761"/>
        <c:axId val="814674741"/>
      </c:barChart>
      <c:catAx>
        <c:axId val="5066917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4674741"/>
        <c:crosses val="autoZero"/>
        <c:auto val="1"/>
        <c:lblAlgn val="ctr"/>
        <c:lblOffset val="100"/>
        <c:noMultiLvlLbl val="0"/>
      </c:catAx>
      <c:valAx>
        <c:axId val="8146747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6917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Suppliers by Late Deliveries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DeliverySummary!$B$1</c:f>
              <c:strCache>
                <c:ptCount val="1"/>
                <c:pt idx="0">
                  <c:v>LateOrderCount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DeliverySummary!$A$2:$A$6</c:f>
              <c:strCache>
                <c:ptCount val="5"/>
                <c:pt idx="0">
                  <c:v>S016</c:v>
                </c:pt>
                <c:pt idx="1">
                  <c:v>S012</c:v>
                </c:pt>
                <c:pt idx="2">
                  <c:v>S017</c:v>
                </c:pt>
                <c:pt idx="3">
                  <c:v>S002</c:v>
                </c:pt>
                <c:pt idx="4">
                  <c:v>S007</c:v>
                </c:pt>
              </c:strCache>
            </c:strRef>
          </c:cat>
          <c:val>
            <c:numRef>
              <c:f>DeliverySummary!$B$2:$B$6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05981102"/>
        <c:axId val="662188996"/>
      </c:barChart>
      <c:catAx>
        <c:axId val="7059811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188996"/>
        <c:crosses val="autoZero"/>
        <c:auto val="1"/>
        <c:lblAlgn val="ctr"/>
        <c:lblOffset val="100"/>
        <c:noMultiLvlLbl val="0"/>
      </c:catAx>
      <c:valAx>
        <c:axId val="6621889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59811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Suppliers by Purchase Spend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SupplierSpend!$B$1</c:f>
              <c:strCache>
                <c:ptCount val="1"/>
                <c:pt idx="0">
                  <c:v>TotalSpendGBP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SupplierSpend!$A$2:$A$6</c:f>
              <c:strCache>
                <c:ptCount val="5"/>
                <c:pt idx="0">
                  <c:v>S020</c:v>
                </c:pt>
                <c:pt idx="1">
                  <c:v>S010</c:v>
                </c:pt>
                <c:pt idx="2">
                  <c:v>S011</c:v>
                </c:pt>
                <c:pt idx="3">
                  <c:v>S001</c:v>
                </c:pt>
                <c:pt idx="4">
                  <c:v>S012</c:v>
                </c:pt>
              </c:strCache>
            </c:strRef>
          </c:cat>
          <c:val>
            <c:numRef>
              <c:f>SupplierSpend!$B$2:$B$6</c:f>
              <c:numCache>
                <c:formatCode>_-"£"* #,##0.00_-;\-"£"* #,##0.00_-;_-"£"* "-"??_-;_-@_-</c:formatCode>
                <c:ptCount val="5"/>
                <c:pt idx="0">
                  <c:v>379504.4</c:v>
                </c:pt>
                <c:pt idx="1">
                  <c:v>294220.6</c:v>
                </c:pt>
                <c:pt idx="2">
                  <c:v>273316.2</c:v>
                </c:pt>
                <c:pt idx="3">
                  <c:v>228020.9</c:v>
                </c:pt>
                <c:pt idx="4">
                  <c:v>225246.3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38199297"/>
        <c:axId val="835118779"/>
      </c:barChart>
      <c:catAx>
        <c:axId val="3381992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118779"/>
        <c:crosses val="autoZero"/>
        <c:auto val="1"/>
        <c:lblAlgn val="ctr"/>
        <c:lblOffset val="100"/>
        <c:noMultiLvlLbl val="0"/>
      </c:catAx>
      <c:valAx>
        <c:axId val="8351187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-&quot;£&quot;* #,##0.00_-;\-&quot;£&quot;* #,##0.00_-;_-&quot;£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1992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Suppliers by Overdue Purchase Orders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SupplierFollowUp!$B$1</c:f>
              <c:strCache>
                <c:ptCount val="1"/>
                <c:pt idx="0">
                  <c:v>UrgentOrderCount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SupplierFollowUp!$A$2:$A$6</c:f>
              <c:strCache>
                <c:ptCount val="5"/>
                <c:pt idx="0">
                  <c:v>S020</c:v>
                </c:pt>
                <c:pt idx="1">
                  <c:v>S009</c:v>
                </c:pt>
                <c:pt idx="2">
                  <c:v>S005</c:v>
                </c:pt>
                <c:pt idx="3">
                  <c:v>S013</c:v>
                </c:pt>
                <c:pt idx="4">
                  <c:v>S002</c:v>
                </c:pt>
              </c:strCache>
            </c:strRef>
          </c:cat>
          <c:val>
            <c:numRef>
              <c:f>SupplierFollowUp!$B$2:$B$6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8329729"/>
        <c:axId val="773628699"/>
      </c:barChart>
      <c:catAx>
        <c:axId val="8483297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3628699"/>
        <c:crosses val="autoZero"/>
        <c:auto val="1"/>
        <c:lblAlgn val="ctr"/>
        <c:lblOffset val="100"/>
        <c:noMultiLvlLbl val="0"/>
      </c:catAx>
      <c:valAx>
        <c:axId val="7736286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3297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254000</xdr:colOff>
      <xdr:row>3</xdr:row>
      <xdr:rowOff>44450</xdr:rowOff>
    </xdr:from>
    <xdr:to>
      <xdr:col>13</xdr:col>
      <xdr:colOff>203200</xdr:colOff>
      <xdr:row>18</xdr:row>
      <xdr:rowOff>25400</xdr:rowOff>
    </xdr:to>
    <xdr:graphicFrame>
      <xdr:nvGraphicFramePr>
        <xdr:cNvPr id="2" name="Chart 1"/>
        <xdr:cNvGraphicFramePr/>
      </xdr:nvGraphicFramePr>
      <xdr:xfrm>
        <a:off x="3302000" y="596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38100</xdr:colOff>
      <xdr:row>2</xdr:row>
      <xdr:rowOff>57150</xdr:rowOff>
    </xdr:from>
    <xdr:to>
      <xdr:col>15</xdr:col>
      <xdr:colOff>596900</xdr:colOff>
      <xdr:row>17</xdr:row>
      <xdr:rowOff>38100</xdr:rowOff>
    </xdr:to>
    <xdr:graphicFrame>
      <xdr:nvGraphicFramePr>
        <xdr:cNvPr id="3" name="Chart 2"/>
        <xdr:cNvGraphicFramePr/>
      </xdr:nvGraphicFramePr>
      <xdr:xfrm>
        <a:off x="4914900" y="425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577850</xdr:colOff>
      <xdr:row>1</xdr:row>
      <xdr:rowOff>165100</xdr:rowOff>
    </xdr:from>
    <xdr:to>
      <xdr:col>14</xdr:col>
      <xdr:colOff>527050</xdr:colOff>
      <xdr:row>16</xdr:row>
      <xdr:rowOff>146050</xdr:rowOff>
    </xdr:to>
    <xdr:graphicFrame>
      <xdr:nvGraphicFramePr>
        <xdr:cNvPr id="2" name="Chart 1"/>
        <xdr:cNvGraphicFramePr/>
      </xdr:nvGraphicFramePr>
      <xdr:xfrm>
        <a:off x="4806950" y="349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114300</xdr:colOff>
      <xdr:row>2</xdr:row>
      <xdr:rowOff>19050</xdr:rowOff>
    </xdr:from>
    <xdr:to>
      <xdr:col>12</xdr:col>
      <xdr:colOff>63500</xdr:colOff>
      <xdr:row>17</xdr:row>
      <xdr:rowOff>0</xdr:rowOff>
    </xdr:to>
    <xdr:graphicFrame>
      <xdr:nvGraphicFramePr>
        <xdr:cNvPr id="2" name="Chart 1"/>
        <xdr:cNvGraphicFramePr/>
      </xdr:nvGraphicFramePr>
      <xdr:xfrm>
        <a:off x="3238500" y="387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254000</xdr:colOff>
      <xdr:row>3</xdr:row>
      <xdr:rowOff>44450</xdr:rowOff>
    </xdr:from>
    <xdr:to>
      <xdr:col>13</xdr:col>
      <xdr:colOff>203200</xdr:colOff>
      <xdr:row>18</xdr:row>
      <xdr:rowOff>25400</xdr:rowOff>
    </xdr:to>
    <xdr:graphicFrame>
      <xdr:nvGraphicFramePr>
        <xdr:cNvPr id="2" name="Chart 1"/>
        <xdr:cNvGraphicFramePr/>
      </xdr:nvGraphicFramePr>
      <xdr:xfrm>
        <a:off x="3302000" y="596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1"/>
  <cols>
    <col min="1" max="1" width="17" customWidth="1"/>
    <col min="2" max="2" width="32" customWidth="1"/>
  </cols>
  <sheetData>
    <row r="1" ht="30" customHeight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autoFilter xmlns:etc="http://www.wps.cn/officeDocument/2017/etCustomData" ref="A1:B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2"/>
  <cols>
    <col min="1" max="1" width="21" customWidth="1"/>
    <col min="2" max="2" width="26" customWidth="1"/>
    <col min="3" max="3" width="32" customWidth="1"/>
  </cols>
  <sheetData>
    <row r="1" ht="30" customHeight="1" spans="1:3">
      <c r="A1" s="1" t="s">
        <v>18</v>
      </c>
      <c r="B1" s="1" t="s">
        <v>19</v>
      </c>
      <c r="C1" s="1" t="s">
        <v>20</v>
      </c>
    </row>
    <row r="2" spans="1:3">
      <c r="A2" t="s">
        <v>21</v>
      </c>
      <c r="B2" t="s">
        <v>22</v>
      </c>
      <c r="C2" t="s">
        <v>23</v>
      </c>
    </row>
    <row r="3" spans="1:3">
      <c r="A3" t="s">
        <v>24</v>
      </c>
      <c r="B3" t="s">
        <v>25</v>
      </c>
      <c r="C3" t="s">
        <v>26</v>
      </c>
    </row>
    <row r="4" spans="1:3">
      <c r="A4" t="s">
        <v>27</v>
      </c>
      <c r="B4" t="s">
        <v>28</v>
      </c>
      <c r="C4" t="s">
        <v>29</v>
      </c>
    </row>
    <row r="5" spans="1:3">
      <c r="A5" t="s">
        <v>30</v>
      </c>
      <c r="B5" t="s">
        <v>31</v>
      </c>
      <c r="C5" t="s">
        <v>32</v>
      </c>
    </row>
    <row r="6" spans="1:3">
      <c r="A6" t="s">
        <v>33</v>
      </c>
      <c r="B6" t="s">
        <v>34</v>
      </c>
      <c r="C6" t="s">
        <v>35</v>
      </c>
    </row>
    <row r="7" spans="1:3">
      <c r="A7" t="s">
        <v>36</v>
      </c>
      <c r="B7" t="s">
        <v>31</v>
      </c>
      <c r="C7" t="s">
        <v>37</v>
      </c>
    </row>
    <row r="8" spans="1:3">
      <c r="A8" t="s">
        <v>38</v>
      </c>
      <c r="B8" t="s">
        <v>39</v>
      </c>
      <c r="C8" t="s">
        <v>40</v>
      </c>
    </row>
    <row r="9" spans="1:3">
      <c r="A9" t="s">
        <v>41</v>
      </c>
      <c r="B9" t="s">
        <v>42</v>
      </c>
      <c r="C9" t="s">
        <v>43</v>
      </c>
    </row>
    <row r="10" spans="1:3">
      <c r="A10" t="s">
        <v>44</v>
      </c>
      <c r="B10" t="s">
        <v>45</v>
      </c>
      <c r="C10" t="s">
        <v>46</v>
      </c>
    </row>
    <row r="11" spans="1:3">
      <c r="A11" t="s">
        <v>47</v>
      </c>
      <c r="B11" t="s">
        <v>48</v>
      </c>
      <c r="C11" t="s">
        <v>49</v>
      </c>
    </row>
    <row r="12" spans="1:3">
      <c r="A12" t="s">
        <v>50</v>
      </c>
      <c r="B12" t="s">
        <v>51</v>
      </c>
      <c r="C12" t="s">
        <v>52</v>
      </c>
    </row>
    <row r="13" spans="1:3">
      <c r="A13" t="s">
        <v>53</v>
      </c>
      <c r="B13" t="s">
        <v>51</v>
      </c>
      <c r="C13" t="s">
        <v>54</v>
      </c>
    </row>
    <row r="14" spans="1:3">
      <c r="A14" t="s">
        <v>55</v>
      </c>
      <c r="B14" t="s">
        <v>51</v>
      </c>
      <c r="C14" t="s">
        <v>56</v>
      </c>
    </row>
  </sheetData>
  <autoFilter xmlns:etc="http://www.wps.cn/officeDocument/2017/etCustomData" ref="A1:C1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workbookViewId="0">
      <pane ySplit="1" topLeftCell="A2" activePane="bottomLeft" state="frozen"/>
      <selection/>
      <selection pane="bottomLeft" activeCell="I1" sqref="I1"/>
    </sheetView>
  </sheetViews>
  <sheetFormatPr defaultColWidth="9" defaultRowHeight="14.5"/>
  <cols>
    <col min="1" max="1" width="12" customWidth="1"/>
    <col min="2" max="2" width="13" customWidth="1"/>
    <col min="3" max="3" width="19" customWidth="1"/>
    <col min="4" max="4" width="13" customWidth="1"/>
    <col min="5" max="5" width="19" customWidth="1"/>
    <col min="6" max="6" width="20" customWidth="1"/>
    <col min="7" max="7" width="18" customWidth="1"/>
    <col min="8" max="8" width="19" customWidth="1"/>
  </cols>
  <sheetData>
    <row r="1" ht="30" customHeight="1" spans="1:9">
      <c r="A1" s="1" t="s">
        <v>22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t="s">
        <v>64</v>
      </c>
    </row>
    <row r="2" spans="1:9">
      <c r="A2" t="s">
        <v>65</v>
      </c>
      <c r="B2" t="s">
        <v>66</v>
      </c>
      <c r="C2" t="s">
        <v>67</v>
      </c>
      <c r="D2">
        <v>37.46</v>
      </c>
      <c r="E2">
        <v>1460</v>
      </c>
      <c r="F2">
        <v>14</v>
      </c>
      <c r="G2">
        <v>86</v>
      </c>
      <c r="H2">
        <v>7</v>
      </c>
      <c r="I2">
        <f>ROUNDUP((E2/365)*F2,0)+G2</f>
        <v>142</v>
      </c>
    </row>
    <row r="3" spans="1:9">
      <c r="A3" t="s">
        <v>68</v>
      </c>
      <c r="B3" t="s">
        <v>69</v>
      </c>
      <c r="C3" t="s">
        <v>70</v>
      </c>
      <c r="D3">
        <v>57.91</v>
      </c>
      <c r="E3">
        <v>6865</v>
      </c>
      <c r="F3">
        <v>14</v>
      </c>
      <c r="G3">
        <v>89</v>
      </c>
      <c r="H3">
        <v>30</v>
      </c>
      <c r="I3">
        <f t="shared" ref="I3:I34" si="0">ROUNDUP((E3/365)*F3,0)+G3</f>
        <v>353</v>
      </c>
    </row>
    <row r="4" spans="1:9">
      <c r="A4" t="s">
        <v>71</v>
      </c>
      <c r="B4" t="s">
        <v>72</v>
      </c>
      <c r="C4" t="s">
        <v>73</v>
      </c>
      <c r="D4">
        <v>82.69</v>
      </c>
      <c r="E4">
        <v>8922</v>
      </c>
      <c r="F4">
        <v>28</v>
      </c>
      <c r="G4">
        <v>16</v>
      </c>
      <c r="H4">
        <v>14</v>
      </c>
      <c r="I4">
        <f t="shared" si="0"/>
        <v>701</v>
      </c>
    </row>
    <row r="5" spans="1:9">
      <c r="A5" t="s">
        <v>74</v>
      </c>
      <c r="B5" t="s">
        <v>75</v>
      </c>
      <c r="C5" t="s">
        <v>76</v>
      </c>
      <c r="D5">
        <v>22.54</v>
      </c>
      <c r="E5">
        <v>5911</v>
      </c>
      <c r="F5">
        <v>21</v>
      </c>
      <c r="G5">
        <v>35</v>
      </c>
      <c r="H5">
        <v>7</v>
      </c>
      <c r="I5">
        <f t="shared" si="0"/>
        <v>376</v>
      </c>
    </row>
    <row r="6" spans="1:9">
      <c r="A6" t="s">
        <v>77</v>
      </c>
      <c r="B6" t="s">
        <v>78</v>
      </c>
      <c r="C6" t="s">
        <v>79</v>
      </c>
      <c r="D6">
        <v>30.99</v>
      </c>
      <c r="E6">
        <v>6996</v>
      </c>
      <c r="F6">
        <v>21</v>
      </c>
      <c r="G6">
        <v>103</v>
      </c>
      <c r="H6">
        <v>7</v>
      </c>
      <c r="I6">
        <f t="shared" si="0"/>
        <v>506</v>
      </c>
    </row>
    <row r="7" spans="1:9">
      <c r="A7" t="s">
        <v>80</v>
      </c>
      <c r="B7" t="s">
        <v>81</v>
      </c>
      <c r="C7" t="s">
        <v>67</v>
      </c>
      <c r="D7">
        <v>51.28</v>
      </c>
      <c r="E7">
        <v>3158</v>
      </c>
      <c r="F7">
        <v>10</v>
      </c>
      <c r="G7">
        <v>29</v>
      </c>
      <c r="H7">
        <v>14</v>
      </c>
      <c r="I7">
        <f t="shared" si="0"/>
        <v>116</v>
      </c>
    </row>
    <row r="8" spans="1:9">
      <c r="A8" t="s">
        <v>82</v>
      </c>
      <c r="B8" t="s">
        <v>83</v>
      </c>
      <c r="C8" t="s">
        <v>70</v>
      </c>
      <c r="D8">
        <v>11.34</v>
      </c>
      <c r="E8">
        <v>3605</v>
      </c>
      <c r="F8">
        <v>14</v>
      </c>
      <c r="G8">
        <v>122</v>
      </c>
      <c r="H8">
        <v>30</v>
      </c>
      <c r="I8">
        <f t="shared" si="0"/>
        <v>261</v>
      </c>
    </row>
    <row r="9" spans="1:9">
      <c r="A9" t="s">
        <v>84</v>
      </c>
      <c r="B9" t="s">
        <v>85</v>
      </c>
      <c r="C9" t="s">
        <v>73</v>
      </c>
      <c r="D9">
        <v>93.46</v>
      </c>
      <c r="E9">
        <v>2128</v>
      </c>
      <c r="F9">
        <v>14</v>
      </c>
      <c r="G9">
        <v>65</v>
      </c>
      <c r="H9">
        <v>30</v>
      </c>
      <c r="I9">
        <f t="shared" si="0"/>
        <v>147</v>
      </c>
    </row>
    <row r="10" spans="1:9">
      <c r="A10" t="s">
        <v>86</v>
      </c>
      <c r="B10" t="s">
        <v>87</v>
      </c>
      <c r="C10" t="s">
        <v>76</v>
      </c>
      <c r="D10">
        <v>18.69</v>
      </c>
      <c r="E10">
        <v>5993</v>
      </c>
      <c r="F10">
        <v>21</v>
      </c>
      <c r="G10">
        <v>103</v>
      </c>
      <c r="H10">
        <v>14</v>
      </c>
      <c r="I10">
        <f t="shared" si="0"/>
        <v>448</v>
      </c>
    </row>
    <row r="11" spans="1:9">
      <c r="A11" t="s">
        <v>88</v>
      </c>
      <c r="B11" t="s">
        <v>89</v>
      </c>
      <c r="C11" t="s">
        <v>79</v>
      </c>
      <c r="D11">
        <v>77.37</v>
      </c>
      <c r="E11">
        <v>8113</v>
      </c>
      <c r="F11">
        <v>28</v>
      </c>
      <c r="G11">
        <v>144</v>
      </c>
      <c r="H11">
        <v>30</v>
      </c>
      <c r="I11">
        <f t="shared" si="0"/>
        <v>767</v>
      </c>
    </row>
    <row r="12" spans="1:9">
      <c r="A12" t="s">
        <v>90</v>
      </c>
      <c r="B12" t="s">
        <v>91</v>
      </c>
      <c r="C12" t="s">
        <v>67</v>
      </c>
      <c r="D12">
        <v>65.86</v>
      </c>
      <c r="E12">
        <v>1375</v>
      </c>
      <c r="F12">
        <v>14</v>
      </c>
      <c r="G12">
        <v>95</v>
      </c>
      <c r="H12">
        <v>14</v>
      </c>
      <c r="I12">
        <f t="shared" si="0"/>
        <v>148</v>
      </c>
    </row>
    <row r="13" spans="1:9">
      <c r="A13" t="s">
        <v>92</v>
      </c>
      <c r="B13" t="s">
        <v>93</v>
      </c>
      <c r="C13" t="s">
        <v>70</v>
      </c>
      <c r="D13">
        <v>63.95</v>
      </c>
      <c r="E13">
        <v>3673</v>
      </c>
      <c r="F13">
        <v>10</v>
      </c>
      <c r="G13">
        <v>18</v>
      </c>
      <c r="H13">
        <v>14</v>
      </c>
      <c r="I13">
        <f t="shared" si="0"/>
        <v>119</v>
      </c>
    </row>
    <row r="14" spans="1:9">
      <c r="A14" t="s">
        <v>94</v>
      </c>
      <c r="B14" t="s">
        <v>95</v>
      </c>
      <c r="C14" t="s">
        <v>73</v>
      </c>
      <c r="D14">
        <v>5.88</v>
      </c>
      <c r="E14">
        <v>7473</v>
      </c>
      <c r="F14">
        <v>21</v>
      </c>
      <c r="G14">
        <v>176</v>
      </c>
      <c r="H14">
        <v>14</v>
      </c>
      <c r="I14">
        <f t="shared" si="0"/>
        <v>606</v>
      </c>
    </row>
    <row r="15" spans="1:9">
      <c r="A15" t="s">
        <v>96</v>
      </c>
      <c r="B15" t="s">
        <v>97</v>
      </c>
      <c r="C15" t="s">
        <v>76</v>
      </c>
      <c r="D15">
        <v>85.32</v>
      </c>
      <c r="E15">
        <v>8229</v>
      </c>
      <c r="F15">
        <v>21</v>
      </c>
      <c r="G15">
        <v>54</v>
      </c>
      <c r="H15">
        <v>7</v>
      </c>
      <c r="I15">
        <f t="shared" si="0"/>
        <v>528</v>
      </c>
    </row>
    <row r="16" spans="1:9">
      <c r="A16" t="s">
        <v>98</v>
      </c>
      <c r="B16" t="s">
        <v>99</v>
      </c>
      <c r="C16" t="s">
        <v>79</v>
      </c>
      <c r="D16">
        <v>38.76</v>
      </c>
      <c r="E16">
        <v>1478</v>
      </c>
      <c r="F16">
        <v>28</v>
      </c>
      <c r="G16">
        <v>38</v>
      </c>
      <c r="H16">
        <v>14</v>
      </c>
      <c r="I16">
        <f t="shared" si="0"/>
        <v>152</v>
      </c>
    </row>
    <row r="17" spans="1:9">
      <c r="A17" t="s">
        <v>100</v>
      </c>
      <c r="B17" t="s">
        <v>101</v>
      </c>
      <c r="C17" t="s">
        <v>67</v>
      </c>
      <c r="D17">
        <v>91.8</v>
      </c>
      <c r="E17">
        <v>6931</v>
      </c>
      <c r="F17">
        <v>21</v>
      </c>
      <c r="G17">
        <v>55</v>
      </c>
      <c r="H17">
        <v>7</v>
      </c>
      <c r="I17">
        <f t="shared" si="0"/>
        <v>454</v>
      </c>
    </row>
    <row r="18" spans="1:9">
      <c r="A18" t="s">
        <v>102</v>
      </c>
      <c r="B18" t="s">
        <v>103</v>
      </c>
      <c r="C18" t="s">
        <v>70</v>
      </c>
      <c r="D18">
        <v>76.8</v>
      </c>
      <c r="E18">
        <v>664</v>
      </c>
      <c r="F18">
        <v>7</v>
      </c>
      <c r="G18">
        <v>85</v>
      </c>
      <c r="H18">
        <v>7</v>
      </c>
      <c r="I18">
        <f t="shared" si="0"/>
        <v>98</v>
      </c>
    </row>
    <row r="19" spans="1:9">
      <c r="A19" t="s">
        <v>104</v>
      </c>
      <c r="B19" t="s">
        <v>105</v>
      </c>
      <c r="C19" t="s">
        <v>73</v>
      </c>
      <c r="D19">
        <v>74.05</v>
      </c>
      <c r="E19">
        <v>2627</v>
      </c>
      <c r="F19">
        <v>14</v>
      </c>
      <c r="G19">
        <v>95</v>
      </c>
      <c r="H19">
        <v>30</v>
      </c>
      <c r="I19">
        <f t="shared" si="0"/>
        <v>196</v>
      </c>
    </row>
    <row r="20" spans="1:9">
      <c r="A20" t="s">
        <v>106</v>
      </c>
      <c r="B20" t="s">
        <v>107</v>
      </c>
      <c r="C20" t="s">
        <v>76</v>
      </c>
      <c r="D20">
        <v>75.7</v>
      </c>
      <c r="E20">
        <v>6492</v>
      </c>
      <c r="F20">
        <v>10</v>
      </c>
      <c r="G20">
        <v>55</v>
      </c>
      <c r="H20">
        <v>30</v>
      </c>
      <c r="I20">
        <f t="shared" si="0"/>
        <v>233</v>
      </c>
    </row>
    <row r="21" spans="1:9">
      <c r="A21" t="s">
        <v>108</v>
      </c>
      <c r="B21" t="s">
        <v>109</v>
      </c>
      <c r="C21" t="s">
        <v>79</v>
      </c>
      <c r="D21">
        <v>81.2</v>
      </c>
      <c r="E21">
        <v>3704</v>
      </c>
      <c r="F21">
        <v>28</v>
      </c>
      <c r="G21">
        <v>113</v>
      </c>
      <c r="H21">
        <v>14</v>
      </c>
      <c r="I21">
        <f t="shared" si="0"/>
        <v>398</v>
      </c>
    </row>
    <row r="22" spans="1:9">
      <c r="A22" t="s">
        <v>110</v>
      </c>
      <c r="B22" t="s">
        <v>111</v>
      </c>
      <c r="C22" t="s">
        <v>67</v>
      </c>
      <c r="D22">
        <v>84.62</v>
      </c>
      <c r="E22">
        <v>5656</v>
      </c>
      <c r="F22">
        <v>14</v>
      </c>
      <c r="G22">
        <v>115</v>
      </c>
      <c r="H22">
        <v>30</v>
      </c>
      <c r="I22">
        <f t="shared" si="0"/>
        <v>332</v>
      </c>
    </row>
    <row r="23" spans="1:9">
      <c r="A23" t="s">
        <v>112</v>
      </c>
      <c r="B23" t="s">
        <v>113</v>
      </c>
      <c r="C23" t="s">
        <v>70</v>
      </c>
      <c r="D23">
        <v>68.62</v>
      </c>
      <c r="E23">
        <v>4440</v>
      </c>
      <c r="F23">
        <v>28</v>
      </c>
      <c r="G23">
        <v>156</v>
      </c>
      <c r="H23">
        <v>30</v>
      </c>
      <c r="I23">
        <f t="shared" si="0"/>
        <v>497</v>
      </c>
    </row>
    <row r="24" spans="1:9">
      <c r="A24" t="s">
        <v>114</v>
      </c>
      <c r="B24" t="s">
        <v>115</v>
      </c>
      <c r="C24" t="s">
        <v>73</v>
      </c>
      <c r="D24">
        <v>6.72</v>
      </c>
      <c r="E24">
        <v>806</v>
      </c>
      <c r="F24">
        <v>10</v>
      </c>
      <c r="G24">
        <v>56</v>
      </c>
      <c r="H24">
        <v>7</v>
      </c>
      <c r="I24">
        <f t="shared" si="0"/>
        <v>79</v>
      </c>
    </row>
    <row r="25" spans="1:9">
      <c r="A25" t="s">
        <v>116</v>
      </c>
      <c r="B25" t="s">
        <v>117</v>
      </c>
      <c r="C25" t="s">
        <v>76</v>
      </c>
      <c r="D25">
        <v>21.56</v>
      </c>
      <c r="E25">
        <v>1463</v>
      </c>
      <c r="F25">
        <v>7</v>
      </c>
      <c r="G25">
        <v>66</v>
      </c>
      <c r="H25">
        <v>7</v>
      </c>
      <c r="I25">
        <f t="shared" si="0"/>
        <v>95</v>
      </c>
    </row>
    <row r="26" spans="1:9">
      <c r="A26" t="s">
        <v>118</v>
      </c>
      <c r="B26" t="s">
        <v>119</v>
      </c>
      <c r="C26" t="s">
        <v>79</v>
      </c>
      <c r="D26">
        <v>49.79</v>
      </c>
      <c r="E26">
        <v>2357</v>
      </c>
      <c r="F26">
        <v>28</v>
      </c>
      <c r="G26">
        <v>165</v>
      </c>
      <c r="H26">
        <v>30</v>
      </c>
      <c r="I26">
        <f t="shared" si="0"/>
        <v>346</v>
      </c>
    </row>
    <row r="27" spans="1:9">
      <c r="A27" t="s">
        <v>120</v>
      </c>
      <c r="B27" t="s">
        <v>121</v>
      </c>
      <c r="C27" t="s">
        <v>67</v>
      </c>
      <c r="D27">
        <v>40.76</v>
      </c>
      <c r="E27">
        <v>3842</v>
      </c>
      <c r="F27">
        <v>28</v>
      </c>
      <c r="G27">
        <v>50</v>
      </c>
      <c r="H27">
        <v>7</v>
      </c>
      <c r="I27">
        <f t="shared" si="0"/>
        <v>345</v>
      </c>
    </row>
    <row r="28" spans="1:9">
      <c r="A28" t="s">
        <v>122</v>
      </c>
      <c r="B28" t="s">
        <v>123</v>
      </c>
      <c r="C28" t="s">
        <v>70</v>
      </c>
      <c r="D28">
        <v>10.08</v>
      </c>
      <c r="E28">
        <v>3757</v>
      </c>
      <c r="F28">
        <v>21</v>
      </c>
      <c r="G28">
        <v>80</v>
      </c>
      <c r="H28">
        <v>14</v>
      </c>
      <c r="I28">
        <f t="shared" si="0"/>
        <v>297</v>
      </c>
    </row>
    <row r="29" spans="1:9">
      <c r="A29" t="s">
        <v>124</v>
      </c>
      <c r="B29" t="s">
        <v>125</v>
      </c>
      <c r="C29" t="s">
        <v>73</v>
      </c>
      <c r="D29">
        <v>77.35</v>
      </c>
      <c r="E29">
        <v>3293</v>
      </c>
      <c r="F29">
        <v>21</v>
      </c>
      <c r="G29">
        <v>42</v>
      </c>
      <c r="H29">
        <v>14</v>
      </c>
      <c r="I29">
        <f t="shared" si="0"/>
        <v>232</v>
      </c>
    </row>
    <row r="30" spans="1:9">
      <c r="A30" t="s">
        <v>126</v>
      </c>
      <c r="B30" t="s">
        <v>127</v>
      </c>
      <c r="C30" t="s">
        <v>76</v>
      </c>
      <c r="D30">
        <v>84.26</v>
      </c>
      <c r="E30">
        <v>2263</v>
      </c>
      <c r="F30">
        <v>10</v>
      </c>
      <c r="G30">
        <v>106</v>
      </c>
      <c r="H30">
        <v>7</v>
      </c>
      <c r="I30">
        <f t="shared" si="0"/>
        <v>168</v>
      </c>
    </row>
    <row r="31" spans="1:9">
      <c r="A31" t="s">
        <v>128</v>
      </c>
      <c r="B31" t="s">
        <v>129</v>
      </c>
      <c r="C31" t="s">
        <v>79</v>
      </c>
      <c r="D31">
        <v>32.26</v>
      </c>
      <c r="E31">
        <v>7992</v>
      </c>
      <c r="F31">
        <v>7</v>
      </c>
      <c r="G31">
        <v>135</v>
      </c>
      <c r="H31">
        <v>30</v>
      </c>
      <c r="I31">
        <f t="shared" si="0"/>
        <v>289</v>
      </c>
    </row>
    <row r="32" spans="1:9">
      <c r="A32" t="s">
        <v>130</v>
      </c>
      <c r="B32" t="s">
        <v>131</v>
      </c>
      <c r="C32" t="s">
        <v>67</v>
      </c>
      <c r="D32">
        <v>42.29</v>
      </c>
      <c r="E32">
        <v>6464</v>
      </c>
      <c r="F32">
        <v>14</v>
      </c>
      <c r="G32">
        <v>117</v>
      </c>
      <c r="H32">
        <v>14</v>
      </c>
      <c r="I32">
        <f t="shared" si="0"/>
        <v>365</v>
      </c>
    </row>
    <row r="33" spans="1:9">
      <c r="A33" t="s">
        <v>132</v>
      </c>
      <c r="B33" t="s">
        <v>133</v>
      </c>
      <c r="C33" t="s">
        <v>70</v>
      </c>
      <c r="D33">
        <v>49.99</v>
      </c>
      <c r="E33">
        <v>5013</v>
      </c>
      <c r="F33">
        <v>28</v>
      </c>
      <c r="G33">
        <v>65</v>
      </c>
      <c r="H33">
        <v>14</v>
      </c>
      <c r="I33">
        <f t="shared" si="0"/>
        <v>450</v>
      </c>
    </row>
    <row r="34" spans="1:9">
      <c r="A34" t="s">
        <v>134</v>
      </c>
      <c r="B34" t="s">
        <v>135</v>
      </c>
      <c r="C34" t="s">
        <v>73</v>
      </c>
      <c r="D34">
        <v>34.06</v>
      </c>
      <c r="E34">
        <v>2598</v>
      </c>
      <c r="F34">
        <v>14</v>
      </c>
      <c r="G34">
        <v>132</v>
      </c>
      <c r="H34">
        <v>7</v>
      </c>
      <c r="I34">
        <f t="shared" si="0"/>
        <v>232</v>
      </c>
    </row>
    <row r="35" spans="1:9">
      <c r="A35" t="s">
        <v>136</v>
      </c>
      <c r="B35" t="s">
        <v>137</v>
      </c>
      <c r="C35" t="s">
        <v>76</v>
      </c>
      <c r="D35">
        <v>40.15</v>
      </c>
      <c r="E35">
        <v>2453</v>
      </c>
      <c r="F35">
        <v>7</v>
      </c>
      <c r="G35">
        <v>66</v>
      </c>
      <c r="H35">
        <v>14</v>
      </c>
      <c r="I35">
        <f t="shared" ref="I35:I66" si="1">ROUNDUP((E35/365)*F35,0)+G35</f>
        <v>114</v>
      </c>
    </row>
    <row r="36" spans="1:9">
      <c r="A36" t="s">
        <v>138</v>
      </c>
      <c r="B36" t="s">
        <v>139</v>
      </c>
      <c r="C36" t="s">
        <v>79</v>
      </c>
      <c r="D36">
        <v>67.06</v>
      </c>
      <c r="E36">
        <v>8154</v>
      </c>
      <c r="F36">
        <v>7</v>
      </c>
      <c r="G36">
        <v>115</v>
      </c>
      <c r="H36">
        <v>7</v>
      </c>
      <c r="I36">
        <f t="shared" si="1"/>
        <v>272</v>
      </c>
    </row>
    <row r="37" spans="1:9">
      <c r="A37" t="s">
        <v>140</v>
      </c>
      <c r="B37" t="s">
        <v>141</v>
      </c>
      <c r="C37" t="s">
        <v>67</v>
      </c>
      <c r="D37">
        <v>94.79</v>
      </c>
      <c r="E37">
        <v>1298</v>
      </c>
      <c r="F37">
        <v>7</v>
      </c>
      <c r="G37">
        <v>16</v>
      </c>
      <c r="H37">
        <v>14</v>
      </c>
      <c r="I37">
        <f t="shared" si="1"/>
        <v>41</v>
      </c>
    </row>
    <row r="38" spans="1:9">
      <c r="A38" t="s">
        <v>142</v>
      </c>
      <c r="B38" t="s">
        <v>143</v>
      </c>
      <c r="C38" t="s">
        <v>70</v>
      </c>
      <c r="D38">
        <v>40.82</v>
      </c>
      <c r="E38">
        <v>1454</v>
      </c>
      <c r="F38">
        <v>28</v>
      </c>
      <c r="G38">
        <v>143</v>
      </c>
      <c r="H38">
        <v>30</v>
      </c>
      <c r="I38">
        <f t="shared" si="1"/>
        <v>255</v>
      </c>
    </row>
    <row r="39" spans="1:9">
      <c r="A39" t="s">
        <v>144</v>
      </c>
      <c r="B39" t="s">
        <v>145</v>
      </c>
      <c r="C39" t="s">
        <v>73</v>
      </c>
      <c r="D39">
        <v>65.62</v>
      </c>
      <c r="E39">
        <v>5772</v>
      </c>
      <c r="F39">
        <v>21</v>
      </c>
      <c r="G39">
        <v>174</v>
      </c>
      <c r="H39">
        <v>14</v>
      </c>
      <c r="I39">
        <f t="shared" si="1"/>
        <v>507</v>
      </c>
    </row>
    <row r="40" spans="1:9">
      <c r="A40" t="s">
        <v>146</v>
      </c>
      <c r="B40" t="s">
        <v>147</v>
      </c>
      <c r="C40" t="s">
        <v>76</v>
      </c>
      <c r="D40">
        <v>25.27</v>
      </c>
      <c r="E40">
        <v>5531</v>
      </c>
      <c r="F40">
        <v>14</v>
      </c>
      <c r="G40">
        <v>137</v>
      </c>
      <c r="H40">
        <v>7</v>
      </c>
      <c r="I40">
        <f t="shared" si="1"/>
        <v>350</v>
      </c>
    </row>
    <row r="41" spans="1:9">
      <c r="A41" t="s">
        <v>148</v>
      </c>
      <c r="B41" t="s">
        <v>149</v>
      </c>
      <c r="C41" t="s">
        <v>79</v>
      </c>
      <c r="D41">
        <v>70</v>
      </c>
      <c r="E41">
        <v>2927</v>
      </c>
      <c r="F41">
        <v>28</v>
      </c>
      <c r="G41">
        <v>130</v>
      </c>
      <c r="H41">
        <v>14</v>
      </c>
      <c r="I41">
        <f t="shared" si="1"/>
        <v>355</v>
      </c>
    </row>
    <row r="42" spans="1:9">
      <c r="A42" t="s">
        <v>150</v>
      </c>
      <c r="B42" t="s">
        <v>151</v>
      </c>
      <c r="C42" t="s">
        <v>67</v>
      </c>
      <c r="D42">
        <v>61.28</v>
      </c>
      <c r="E42">
        <v>2530</v>
      </c>
      <c r="F42">
        <v>7</v>
      </c>
      <c r="G42">
        <v>138</v>
      </c>
      <c r="H42">
        <v>30</v>
      </c>
      <c r="I42">
        <f t="shared" si="1"/>
        <v>187</v>
      </c>
    </row>
    <row r="43" spans="1:9">
      <c r="A43" t="s">
        <v>152</v>
      </c>
      <c r="B43" t="s">
        <v>153</v>
      </c>
      <c r="C43" t="s">
        <v>70</v>
      </c>
      <c r="D43">
        <v>20.16</v>
      </c>
      <c r="E43">
        <v>1259</v>
      </c>
      <c r="F43">
        <v>21</v>
      </c>
      <c r="G43">
        <v>178</v>
      </c>
      <c r="H43">
        <v>30</v>
      </c>
      <c r="I43">
        <f t="shared" si="1"/>
        <v>251</v>
      </c>
    </row>
    <row r="44" spans="1:9">
      <c r="A44" t="s">
        <v>154</v>
      </c>
      <c r="B44" t="s">
        <v>155</v>
      </c>
      <c r="C44" t="s">
        <v>73</v>
      </c>
      <c r="D44">
        <v>68.43</v>
      </c>
      <c r="E44">
        <v>8938</v>
      </c>
      <c r="F44">
        <v>21</v>
      </c>
      <c r="G44">
        <v>110</v>
      </c>
      <c r="H44">
        <v>30</v>
      </c>
      <c r="I44">
        <f t="shared" si="1"/>
        <v>625</v>
      </c>
    </row>
    <row r="45" spans="1:9">
      <c r="A45" t="s">
        <v>156</v>
      </c>
      <c r="B45" t="s">
        <v>157</v>
      </c>
      <c r="C45" t="s">
        <v>76</v>
      </c>
      <c r="D45">
        <v>19.04</v>
      </c>
      <c r="E45">
        <v>3576</v>
      </c>
      <c r="F45">
        <v>10</v>
      </c>
      <c r="G45">
        <v>118</v>
      </c>
      <c r="H45">
        <v>7</v>
      </c>
      <c r="I45">
        <f t="shared" si="1"/>
        <v>216</v>
      </c>
    </row>
    <row r="46" spans="1:9">
      <c r="A46" t="s">
        <v>158</v>
      </c>
      <c r="B46" t="s">
        <v>159</v>
      </c>
      <c r="C46" t="s">
        <v>79</v>
      </c>
      <c r="D46">
        <v>65.16</v>
      </c>
      <c r="E46">
        <v>8720</v>
      </c>
      <c r="F46">
        <v>7</v>
      </c>
      <c r="G46">
        <v>165</v>
      </c>
      <c r="H46">
        <v>30</v>
      </c>
      <c r="I46">
        <f t="shared" si="1"/>
        <v>333</v>
      </c>
    </row>
    <row r="47" spans="1:9">
      <c r="A47" t="s">
        <v>160</v>
      </c>
      <c r="B47" t="s">
        <v>161</v>
      </c>
      <c r="C47" t="s">
        <v>67</v>
      </c>
      <c r="D47">
        <v>83.72</v>
      </c>
      <c r="E47">
        <v>862</v>
      </c>
      <c r="F47">
        <v>21</v>
      </c>
      <c r="G47">
        <v>158</v>
      </c>
      <c r="H47">
        <v>14</v>
      </c>
      <c r="I47">
        <f t="shared" si="1"/>
        <v>208</v>
      </c>
    </row>
    <row r="48" spans="1:9">
      <c r="A48" t="s">
        <v>162</v>
      </c>
      <c r="B48" t="s">
        <v>163</v>
      </c>
      <c r="C48" t="s">
        <v>70</v>
      </c>
      <c r="D48">
        <v>93.36</v>
      </c>
      <c r="E48">
        <v>2649</v>
      </c>
      <c r="F48">
        <v>7</v>
      </c>
      <c r="G48">
        <v>62</v>
      </c>
      <c r="H48">
        <v>14</v>
      </c>
      <c r="I48">
        <f t="shared" si="1"/>
        <v>113</v>
      </c>
    </row>
    <row r="49" spans="1:9">
      <c r="A49" t="s">
        <v>164</v>
      </c>
      <c r="B49" t="s">
        <v>165</v>
      </c>
      <c r="C49" t="s">
        <v>73</v>
      </c>
      <c r="D49">
        <v>85.54</v>
      </c>
      <c r="E49">
        <v>3708</v>
      </c>
      <c r="F49">
        <v>14</v>
      </c>
      <c r="G49">
        <v>23</v>
      </c>
      <c r="H49">
        <v>7</v>
      </c>
      <c r="I49">
        <f t="shared" si="1"/>
        <v>166</v>
      </c>
    </row>
    <row r="50" spans="1:9">
      <c r="A50" t="s">
        <v>166</v>
      </c>
      <c r="B50" t="s">
        <v>167</v>
      </c>
      <c r="C50" t="s">
        <v>76</v>
      </c>
      <c r="D50">
        <v>35.13</v>
      </c>
      <c r="E50">
        <v>2855</v>
      </c>
      <c r="F50">
        <v>14</v>
      </c>
      <c r="G50">
        <v>162</v>
      </c>
      <c r="H50">
        <v>14</v>
      </c>
      <c r="I50">
        <f t="shared" si="1"/>
        <v>272</v>
      </c>
    </row>
    <row r="51" spans="1:9">
      <c r="A51" t="s">
        <v>168</v>
      </c>
      <c r="B51" t="s">
        <v>169</v>
      </c>
      <c r="C51" t="s">
        <v>79</v>
      </c>
      <c r="D51">
        <v>74.75</v>
      </c>
      <c r="E51">
        <v>2248</v>
      </c>
      <c r="F51">
        <v>21</v>
      </c>
      <c r="G51">
        <v>118</v>
      </c>
      <c r="H51">
        <v>14</v>
      </c>
      <c r="I51">
        <f t="shared" si="1"/>
        <v>248</v>
      </c>
    </row>
    <row r="52" spans="1:9">
      <c r="A52" t="s">
        <v>170</v>
      </c>
      <c r="B52" t="s">
        <v>171</v>
      </c>
      <c r="C52" t="s">
        <v>67</v>
      </c>
      <c r="D52">
        <v>3.85</v>
      </c>
      <c r="E52">
        <v>3157</v>
      </c>
      <c r="F52">
        <v>7</v>
      </c>
      <c r="G52">
        <v>113</v>
      </c>
      <c r="H52">
        <v>7</v>
      </c>
      <c r="I52">
        <f t="shared" si="1"/>
        <v>174</v>
      </c>
    </row>
    <row r="53" spans="1:9">
      <c r="A53" t="s">
        <v>172</v>
      </c>
      <c r="B53" t="s">
        <v>173</v>
      </c>
      <c r="C53" t="s">
        <v>70</v>
      </c>
      <c r="D53">
        <v>3.47</v>
      </c>
      <c r="E53">
        <v>5573</v>
      </c>
      <c r="F53">
        <v>10</v>
      </c>
      <c r="G53">
        <v>68</v>
      </c>
      <c r="H53">
        <v>30</v>
      </c>
      <c r="I53">
        <f t="shared" si="1"/>
        <v>221</v>
      </c>
    </row>
    <row r="54" spans="1:9">
      <c r="A54" t="s">
        <v>174</v>
      </c>
      <c r="B54" t="s">
        <v>175</v>
      </c>
      <c r="C54" t="s">
        <v>73</v>
      </c>
      <c r="D54">
        <v>62.98</v>
      </c>
      <c r="E54">
        <v>8952</v>
      </c>
      <c r="F54">
        <v>21</v>
      </c>
      <c r="G54">
        <v>47</v>
      </c>
      <c r="H54">
        <v>14</v>
      </c>
      <c r="I54">
        <f t="shared" si="1"/>
        <v>563</v>
      </c>
    </row>
    <row r="55" spans="1:9">
      <c r="A55" t="s">
        <v>176</v>
      </c>
      <c r="B55" t="s">
        <v>177</v>
      </c>
      <c r="C55" t="s">
        <v>76</v>
      </c>
      <c r="D55">
        <v>32.94</v>
      </c>
      <c r="E55">
        <v>4587</v>
      </c>
      <c r="F55">
        <v>14</v>
      </c>
      <c r="G55">
        <v>159</v>
      </c>
      <c r="H55">
        <v>7</v>
      </c>
      <c r="I55">
        <f t="shared" si="1"/>
        <v>335</v>
      </c>
    </row>
    <row r="56" spans="1:9">
      <c r="A56" t="s">
        <v>178</v>
      </c>
      <c r="B56" t="s">
        <v>179</v>
      </c>
      <c r="C56" t="s">
        <v>79</v>
      </c>
      <c r="D56">
        <v>52.91</v>
      </c>
      <c r="E56">
        <v>8650</v>
      </c>
      <c r="F56">
        <v>28</v>
      </c>
      <c r="G56">
        <v>65</v>
      </c>
      <c r="H56">
        <v>14</v>
      </c>
      <c r="I56">
        <f t="shared" si="1"/>
        <v>729</v>
      </c>
    </row>
    <row r="57" spans="1:9">
      <c r="A57" t="s">
        <v>180</v>
      </c>
      <c r="B57" t="s">
        <v>181</v>
      </c>
      <c r="C57" t="s">
        <v>67</v>
      </c>
      <c r="D57">
        <v>86.36</v>
      </c>
      <c r="E57">
        <v>825</v>
      </c>
      <c r="F57">
        <v>28</v>
      </c>
      <c r="G57">
        <v>44</v>
      </c>
      <c r="H57">
        <v>7</v>
      </c>
      <c r="I57">
        <f t="shared" si="1"/>
        <v>108</v>
      </c>
    </row>
    <row r="58" spans="1:9">
      <c r="A58" t="s">
        <v>182</v>
      </c>
      <c r="B58" t="s">
        <v>183</v>
      </c>
      <c r="C58" t="s">
        <v>70</v>
      </c>
      <c r="D58">
        <v>56.08</v>
      </c>
      <c r="E58">
        <v>6200</v>
      </c>
      <c r="F58">
        <v>28</v>
      </c>
      <c r="G58">
        <v>75</v>
      </c>
      <c r="H58">
        <v>30</v>
      </c>
      <c r="I58">
        <f t="shared" si="1"/>
        <v>551</v>
      </c>
    </row>
    <row r="59" spans="1:9">
      <c r="A59" t="s">
        <v>184</v>
      </c>
      <c r="B59" t="s">
        <v>185</v>
      </c>
      <c r="C59" t="s">
        <v>73</v>
      </c>
      <c r="D59">
        <v>55.62</v>
      </c>
      <c r="E59">
        <v>8279</v>
      </c>
      <c r="F59">
        <v>7</v>
      </c>
      <c r="G59">
        <v>172</v>
      </c>
      <c r="H59">
        <v>7</v>
      </c>
      <c r="I59">
        <f t="shared" si="1"/>
        <v>331</v>
      </c>
    </row>
    <row r="60" spans="1:9">
      <c r="A60" t="s">
        <v>186</v>
      </c>
      <c r="B60" t="s">
        <v>187</v>
      </c>
      <c r="C60" t="s">
        <v>76</v>
      </c>
      <c r="D60">
        <v>28.72</v>
      </c>
      <c r="E60">
        <v>1660</v>
      </c>
      <c r="F60">
        <v>28</v>
      </c>
      <c r="G60">
        <v>60</v>
      </c>
      <c r="H60">
        <v>7</v>
      </c>
      <c r="I60">
        <f t="shared" si="1"/>
        <v>188</v>
      </c>
    </row>
    <row r="61" spans="1:9">
      <c r="A61" t="s">
        <v>188</v>
      </c>
      <c r="B61" t="s">
        <v>189</v>
      </c>
      <c r="C61" t="s">
        <v>79</v>
      </c>
      <c r="D61">
        <v>55.65</v>
      </c>
      <c r="E61">
        <v>1299</v>
      </c>
      <c r="F61">
        <v>7</v>
      </c>
      <c r="G61">
        <v>130</v>
      </c>
      <c r="H61">
        <v>30</v>
      </c>
      <c r="I61">
        <f t="shared" si="1"/>
        <v>155</v>
      </c>
    </row>
    <row r="62" spans="1:9">
      <c r="A62" t="s">
        <v>190</v>
      </c>
      <c r="B62" t="s">
        <v>191</v>
      </c>
      <c r="C62" t="s">
        <v>67</v>
      </c>
      <c r="D62">
        <v>31.12</v>
      </c>
      <c r="E62">
        <v>3575</v>
      </c>
      <c r="F62">
        <v>7</v>
      </c>
      <c r="G62">
        <v>81</v>
      </c>
      <c r="H62">
        <v>14</v>
      </c>
      <c r="I62">
        <f t="shared" si="1"/>
        <v>150</v>
      </c>
    </row>
    <row r="63" spans="1:9">
      <c r="A63" t="s">
        <v>192</v>
      </c>
      <c r="B63" t="s">
        <v>193</v>
      </c>
      <c r="C63" t="s">
        <v>70</v>
      </c>
      <c r="D63">
        <v>54.23</v>
      </c>
      <c r="E63">
        <v>6454</v>
      </c>
      <c r="F63">
        <v>10</v>
      </c>
      <c r="G63">
        <v>81</v>
      </c>
      <c r="H63">
        <v>14</v>
      </c>
      <c r="I63">
        <f t="shared" si="1"/>
        <v>258</v>
      </c>
    </row>
    <row r="64" spans="1:9">
      <c r="A64" t="s">
        <v>194</v>
      </c>
      <c r="B64" t="s">
        <v>195</v>
      </c>
      <c r="C64" t="s">
        <v>73</v>
      </c>
      <c r="D64">
        <v>11.94</v>
      </c>
      <c r="E64">
        <v>8055</v>
      </c>
      <c r="F64">
        <v>10</v>
      </c>
      <c r="G64">
        <v>141</v>
      </c>
      <c r="H64">
        <v>30</v>
      </c>
      <c r="I64">
        <f t="shared" si="1"/>
        <v>362</v>
      </c>
    </row>
    <row r="65" spans="1:9">
      <c r="A65" t="s">
        <v>196</v>
      </c>
      <c r="B65" t="s">
        <v>197</v>
      </c>
      <c r="C65" t="s">
        <v>76</v>
      </c>
      <c r="D65">
        <v>30.17</v>
      </c>
      <c r="E65">
        <v>1384</v>
      </c>
      <c r="F65">
        <v>7</v>
      </c>
      <c r="G65">
        <v>151</v>
      </c>
      <c r="H65">
        <v>30</v>
      </c>
      <c r="I65">
        <f t="shared" si="1"/>
        <v>178</v>
      </c>
    </row>
    <row r="66" spans="1:9">
      <c r="A66" t="s">
        <v>198</v>
      </c>
      <c r="B66" t="s">
        <v>199</v>
      </c>
      <c r="C66" t="s">
        <v>79</v>
      </c>
      <c r="D66">
        <v>68.22</v>
      </c>
      <c r="E66">
        <v>7806</v>
      </c>
      <c r="F66">
        <v>28</v>
      </c>
      <c r="G66">
        <v>40</v>
      </c>
      <c r="H66">
        <v>30</v>
      </c>
      <c r="I66">
        <f t="shared" si="1"/>
        <v>639</v>
      </c>
    </row>
    <row r="67" spans="1:9">
      <c r="A67" t="s">
        <v>200</v>
      </c>
      <c r="B67" t="s">
        <v>201</v>
      </c>
      <c r="C67" t="s">
        <v>67</v>
      </c>
      <c r="D67">
        <v>26.57</v>
      </c>
      <c r="E67">
        <v>7571</v>
      </c>
      <c r="F67">
        <v>10</v>
      </c>
      <c r="G67">
        <v>149</v>
      </c>
      <c r="H67">
        <v>7</v>
      </c>
      <c r="I67">
        <f>ROUNDUP((E67/365)*F67,0)+G67</f>
        <v>357</v>
      </c>
    </row>
    <row r="68" spans="1:9">
      <c r="A68" t="s">
        <v>202</v>
      </c>
      <c r="B68" t="s">
        <v>203</v>
      </c>
      <c r="C68" t="s">
        <v>70</v>
      </c>
      <c r="D68">
        <v>60.77</v>
      </c>
      <c r="E68">
        <v>2968</v>
      </c>
      <c r="F68">
        <v>21</v>
      </c>
      <c r="G68">
        <v>129</v>
      </c>
      <c r="H68">
        <v>30</v>
      </c>
      <c r="I68">
        <f>ROUNDUP((E68/365)*F68,0)+G68</f>
        <v>300</v>
      </c>
    </row>
    <row r="69" spans="1:9">
      <c r="A69" t="s">
        <v>204</v>
      </c>
      <c r="B69" t="s">
        <v>205</v>
      </c>
      <c r="C69" t="s">
        <v>73</v>
      </c>
      <c r="D69">
        <v>5.54</v>
      </c>
      <c r="E69">
        <v>6519</v>
      </c>
      <c r="F69">
        <v>14</v>
      </c>
      <c r="G69">
        <v>167</v>
      </c>
      <c r="H69">
        <v>14</v>
      </c>
      <c r="I69">
        <f>ROUNDUP((E69/365)*F69,0)+G69</f>
        <v>418</v>
      </c>
    </row>
    <row r="70" spans="1:9">
      <c r="A70" t="s">
        <v>206</v>
      </c>
      <c r="B70" t="s">
        <v>207</v>
      </c>
      <c r="C70" t="s">
        <v>76</v>
      </c>
      <c r="D70">
        <v>52.92</v>
      </c>
      <c r="E70">
        <v>1748</v>
      </c>
      <c r="F70">
        <v>10</v>
      </c>
      <c r="G70">
        <v>72</v>
      </c>
      <c r="H70">
        <v>14</v>
      </c>
      <c r="I70">
        <f>ROUNDUP((E70/365)*F70,0)+G70</f>
        <v>120</v>
      </c>
    </row>
    <row r="71" spans="1:9">
      <c r="A71" t="s">
        <v>208</v>
      </c>
      <c r="B71" t="s">
        <v>209</v>
      </c>
      <c r="C71" t="s">
        <v>79</v>
      </c>
      <c r="D71">
        <v>26.02</v>
      </c>
      <c r="E71">
        <v>5377</v>
      </c>
      <c r="F71">
        <v>14</v>
      </c>
      <c r="G71">
        <v>115</v>
      </c>
      <c r="H71">
        <v>7</v>
      </c>
      <c r="I71">
        <f>ROUNDUP((E71/365)*F71,0)+G71</f>
        <v>322</v>
      </c>
    </row>
    <row r="72" spans="1:9">
      <c r="A72" t="s">
        <v>210</v>
      </c>
      <c r="B72" t="s">
        <v>211</v>
      </c>
      <c r="C72" t="s">
        <v>67</v>
      </c>
      <c r="D72">
        <v>79.16</v>
      </c>
      <c r="E72">
        <v>6291</v>
      </c>
      <c r="F72">
        <v>21</v>
      </c>
      <c r="G72">
        <v>122</v>
      </c>
      <c r="H72">
        <v>7</v>
      </c>
      <c r="I72">
        <f>ROUNDUP((E72/365)*F72,0)+G72</f>
        <v>484</v>
      </c>
    </row>
    <row r="73" spans="1:9">
      <c r="A73" t="s">
        <v>212</v>
      </c>
      <c r="B73" t="s">
        <v>213</v>
      </c>
      <c r="C73" t="s">
        <v>70</v>
      </c>
      <c r="D73">
        <v>45.07</v>
      </c>
      <c r="E73">
        <v>5469</v>
      </c>
      <c r="F73">
        <v>28</v>
      </c>
      <c r="G73">
        <v>130</v>
      </c>
      <c r="H73">
        <v>14</v>
      </c>
      <c r="I73">
        <f>ROUNDUP((E73/365)*F73,0)+G73</f>
        <v>550</v>
      </c>
    </row>
    <row r="74" spans="1:9">
      <c r="A74" t="s">
        <v>214</v>
      </c>
      <c r="B74" t="s">
        <v>215</v>
      </c>
      <c r="C74" t="s">
        <v>73</v>
      </c>
      <c r="D74">
        <v>52.74</v>
      </c>
      <c r="E74">
        <v>7566</v>
      </c>
      <c r="F74">
        <v>21</v>
      </c>
      <c r="G74">
        <v>158</v>
      </c>
      <c r="H74">
        <v>7</v>
      </c>
      <c r="I74">
        <f>ROUNDUP((E74/365)*F74,0)+G74</f>
        <v>594</v>
      </c>
    </row>
    <row r="75" spans="1:9">
      <c r="A75" t="s">
        <v>216</v>
      </c>
      <c r="B75" t="s">
        <v>217</v>
      </c>
      <c r="C75" t="s">
        <v>76</v>
      </c>
      <c r="D75">
        <v>92.2</v>
      </c>
      <c r="E75">
        <v>2293</v>
      </c>
      <c r="F75">
        <v>14</v>
      </c>
      <c r="G75">
        <v>159</v>
      </c>
      <c r="H75">
        <v>30</v>
      </c>
      <c r="I75">
        <f>ROUNDUP((E75/365)*F75,0)+G75</f>
        <v>247</v>
      </c>
    </row>
    <row r="76" spans="1:9">
      <c r="A76" t="s">
        <v>218</v>
      </c>
      <c r="B76" t="s">
        <v>219</v>
      </c>
      <c r="C76" t="s">
        <v>79</v>
      </c>
      <c r="D76">
        <v>42.88</v>
      </c>
      <c r="E76">
        <v>5777</v>
      </c>
      <c r="F76">
        <v>10</v>
      </c>
      <c r="G76">
        <v>131</v>
      </c>
      <c r="H76">
        <v>14</v>
      </c>
      <c r="I76">
        <f>ROUNDUP((E76/365)*F76,0)+G76</f>
        <v>290</v>
      </c>
    </row>
    <row r="77" spans="1:9">
      <c r="A77" t="s">
        <v>220</v>
      </c>
      <c r="B77" t="s">
        <v>221</v>
      </c>
      <c r="C77" t="s">
        <v>67</v>
      </c>
      <c r="D77">
        <v>79.91</v>
      </c>
      <c r="E77">
        <v>8160</v>
      </c>
      <c r="F77">
        <v>21</v>
      </c>
      <c r="G77">
        <v>143</v>
      </c>
      <c r="H77">
        <v>14</v>
      </c>
      <c r="I77">
        <f>ROUNDUP((E77/365)*F77,0)+G77</f>
        <v>613</v>
      </c>
    </row>
    <row r="78" spans="1:9">
      <c r="A78" t="s">
        <v>222</v>
      </c>
      <c r="B78" t="s">
        <v>223</v>
      </c>
      <c r="C78" t="s">
        <v>70</v>
      </c>
      <c r="D78">
        <v>87.2</v>
      </c>
      <c r="E78">
        <v>8405</v>
      </c>
      <c r="F78">
        <v>7</v>
      </c>
      <c r="G78">
        <v>131</v>
      </c>
      <c r="H78">
        <v>7</v>
      </c>
      <c r="I78">
        <f>ROUNDUP((E78/365)*F78,0)+G78</f>
        <v>293</v>
      </c>
    </row>
    <row r="79" spans="1:9">
      <c r="A79" t="s">
        <v>224</v>
      </c>
      <c r="B79" t="s">
        <v>225</v>
      </c>
      <c r="C79" t="s">
        <v>73</v>
      </c>
      <c r="D79">
        <v>90.85</v>
      </c>
      <c r="E79">
        <v>4670</v>
      </c>
      <c r="F79">
        <v>28</v>
      </c>
      <c r="G79">
        <v>36</v>
      </c>
      <c r="H79">
        <v>7</v>
      </c>
      <c r="I79">
        <f>ROUNDUP((E79/365)*F79,0)+G79</f>
        <v>395</v>
      </c>
    </row>
    <row r="80" spans="1:9">
      <c r="A80" t="s">
        <v>226</v>
      </c>
      <c r="B80" t="s">
        <v>227</v>
      </c>
      <c r="C80" t="s">
        <v>76</v>
      </c>
      <c r="D80">
        <v>41.6</v>
      </c>
      <c r="E80">
        <v>3747</v>
      </c>
      <c r="F80">
        <v>10</v>
      </c>
      <c r="G80">
        <v>158</v>
      </c>
      <c r="H80">
        <v>30</v>
      </c>
      <c r="I80">
        <f>ROUNDUP((E80/365)*F80,0)+G80</f>
        <v>261</v>
      </c>
    </row>
    <row r="81" spans="1:9">
      <c r="A81" t="s">
        <v>228</v>
      </c>
      <c r="B81" t="s">
        <v>229</v>
      </c>
      <c r="C81" t="s">
        <v>79</v>
      </c>
      <c r="D81">
        <v>72.72</v>
      </c>
      <c r="E81">
        <v>3344</v>
      </c>
      <c r="F81">
        <v>28</v>
      </c>
      <c r="G81">
        <v>83</v>
      </c>
      <c r="H81">
        <v>30</v>
      </c>
      <c r="I81">
        <f>ROUNDUP((E81/365)*F81,0)+G81</f>
        <v>340</v>
      </c>
    </row>
  </sheetData>
  <conditionalFormatting sqref="A1">
    <cfRule type="duplicateValues" dxfId="0" priority="2"/>
  </conditionalFormatting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6"/>
  <cols>
    <col min="1" max="1" width="12" customWidth="1"/>
    <col min="2" max="2" width="14" customWidth="1"/>
    <col min="3" max="3" width="15" customWidth="1"/>
    <col min="4" max="4" width="19" customWidth="1"/>
    <col min="5" max="5" width="18" customWidth="1"/>
    <col min="6" max="6" width="16" customWidth="1"/>
    <col min="7" max="7" width="12" customWidth="1"/>
  </cols>
  <sheetData>
    <row r="1" ht="30" customHeight="1" spans="1:7">
      <c r="A1" s="1" t="s">
        <v>25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</row>
    <row r="2" spans="1:7">
      <c r="A2" t="s">
        <v>236</v>
      </c>
      <c r="B2" t="s">
        <v>237</v>
      </c>
      <c r="C2" t="s">
        <v>238</v>
      </c>
      <c r="D2" t="s">
        <v>239</v>
      </c>
      <c r="E2">
        <v>45</v>
      </c>
      <c r="F2" t="s">
        <v>240</v>
      </c>
      <c r="G2" t="s">
        <v>241</v>
      </c>
    </row>
    <row r="3" spans="1:7">
      <c r="A3" t="s">
        <v>242</v>
      </c>
      <c r="B3" t="s">
        <v>243</v>
      </c>
      <c r="C3" t="s">
        <v>244</v>
      </c>
      <c r="D3" t="s">
        <v>239</v>
      </c>
      <c r="E3">
        <v>45</v>
      </c>
      <c r="F3" t="s">
        <v>245</v>
      </c>
      <c r="G3" t="s">
        <v>246</v>
      </c>
    </row>
    <row r="4" spans="1:7">
      <c r="A4" t="s">
        <v>247</v>
      </c>
      <c r="B4" t="s">
        <v>248</v>
      </c>
      <c r="C4" t="s">
        <v>249</v>
      </c>
      <c r="D4" t="s">
        <v>239</v>
      </c>
      <c r="E4">
        <v>30</v>
      </c>
      <c r="F4" t="s">
        <v>250</v>
      </c>
      <c r="G4" t="s">
        <v>241</v>
      </c>
    </row>
    <row r="5" spans="1:7">
      <c r="A5" t="s">
        <v>251</v>
      </c>
      <c r="B5" t="s">
        <v>252</v>
      </c>
      <c r="C5" t="s">
        <v>253</v>
      </c>
      <c r="D5" t="s">
        <v>239</v>
      </c>
      <c r="E5">
        <v>45</v>
      </c>
      <c r="F5" t="s">
        <v>250</v>
      </c>
      <c r="G5" t="s">
        <v>254</v>
      </c>
    </row>
    <row r="6" spans="1:7">
      <c r="A6" t="s">
        <v>255</v>
      </c>
      <c r="B6" t="s">
        <v>256</v>
      </c>
      <c r="C6" t="s">
        <v>244</v>
      </c>
      <c r="D6" t="s">
        <v>239</v>
      </c>
      <c r="E6">
        <v>60</v>
      </c>
      <c r="F6" t="s">
        <v>245</v>
      </c>
      <c r="G6" t="s">
        <v>246</v>
      </c>
    </row>
    <row r="7" spans="1:7">
      <c r="A7" t="s">
        <v>257</v>
      </c>
      <c r="B7" t="s">
        <v>258</v>
      </c>
      <c r="C7" t="s">
        <v>253</v>
      </c>
      <c r="D7" t="s">
        <v>239</v>
      </c>
      <c r="E7">
        <v>30</v>
      </c>
      <c r="F7" t="s">
        <v>250</v>
      </c>
      <c r="G7" t="s">
        <v>246</v>
      </c>
    </row>
    <row r="8" spans="1:7">
      <c r="A8" t="s">
        <v>259</v>
      </c>
      <c r="B8" t="s">
        <v>260</v>
      </c>
      <c r="C8" t="s">
        <v>244</v>
      </c>
      <c r="D8" t="s">
        <v>239</v>
      </c>
      <c r="E8">
        <v>60</v>
      </c>
      <c r="F8" t="s">
        <v>245</v>
      </c>
      <c r="G8" t="s">
        <v>241</v>
      </c>
    </row>
    <row r="9" spans="1:7">
      <c r="A9" t="s">
        <v>261</v>
      </c>
      <c r="B9" t="s">
        <v>262</v>
      </c>
      <c r="C9" t="s">
        <v>244</v>
      </c>
      <c r="D9" t="s">
        <v>239</v>
      </c>
      <c r="E9">
        <v>60</v>
      </c>
      <c r="F9" t="s">
        <v>240</v>
      </c>
      <c r="G9" t="s">
        <v>246</v>
      </c>
    </row>
    <row r="10" spans="1:7">
      <c r="A10" t="s">
        <v>263</v>
      </c>
      <c r="B10" t="s">
        <v>264</v>
      </c>
      <c r="C10" t="s">
        <v>253</v>
      </c>
      <c r="D10" t="s">
        <v>265</v>
      </c>
      <c r="E10">
        <v>60</v>
      </c>
      <c r="F10" t="s">
        <v>240</v>
      </c>
      <c r="G10" t="s">
        <v>241</v>
      </c>
    </row>
    <row r="11" spans="1:7">
      <c r="A11" t="s">
        <v>266</v>
      </c>
      <c r="B11" t="s">
        <v>267</v>
      </c>
      <c r="C11" t="s">
        <v>238</v>
      </c>
      <c r="D11" t="s">
        <v>265</v>
      </c>
      <c r="E11">
        <v>60</v>
      </c>
      <c r="F11" t="s">
        <v>245</v>
      </c>
      <c r="G11" t="s">
        <v>254</v>
      </c>
    </row>
    <row r="12" spans="1:7">
      <c r="A12" t="s">
        <v>268</v>
      </c>
      <c r="B12" t="s">
        <v>269</v>
      </c>
      <c r="C12" t="s">
        <v>249</v>
      </c>
      <c r="D12" t="s">
        <v>265</v>
      </c>
      <c r="E12">
        <v>30</v>
      </c>
      <c r="F12" t="s">
        <v>245</v>
      </c>
      <c r="G12" t="s">
        <v>246</v>
      </c>
    </row>
    <row r="13" spans="1:7">
      <c r="A13" t="s">
        <v>270</v>
      </c>
      <c r="B13" t="s">
        <v>271</v>
      </c>
      <c r="C13" t="s">
        <v>249</v>
      </c>
      <c r="D13" t="s">
        <v>265</v>
      </c>
      <c r="E13">
        <v>30</v>
      </c>
      <c r="F13" t="s">
        <v>250</v>
      </c>
      <c r="G13" t="s">
        <v>241</v>
      </c>
    </row>
    <row r="14" spans="1:7">
      <c r="A14" t="s">
        <v>272</v>
      </c>
      <c r="B14" t="s">
        <v>273</v>
      </c>
      <c r="C14" t="s">
        <v>253</v>
      </c>
      <c r="D14" t="s">
        <v>265</v>
      </c>
      <c r="E14">
        <v>45</v>
      </c>
      <c r="F14" t="s">
        <v>250</v>
      </c>
      <c r="G14" t="s">
        <v>241</v>
      </c>
    </row>
    <row r="15" spans="1:7">
      <c r="A15" t="s">
        <v>274</v>
      </c>
      <c r="B15" t="s">
        <v>275</v>
      </c>
      <c r="C15" t="s">
        <v>249</v>
      </c>
      <c r="D15" t="s">
        <v>265</v>
      </c>
      <c r="E15">
        <v>60</v>
      </c>
      <c r="F15" t="s">
        <v>245</v>
      </c>
      <c r="G15" t="s">
        <v>246</v>
      </c>
    </row>
    <row r="16" spans="1:7">
      <c r="A16" t="s">
        <v>276</v>
      </c>
      <c r="B16" t="s">
        <v>277</v>
      </c>
      <c r="C16" t="s">
        <v>238</v>
      </c>
      <c r="D16" t="s">
        <v>265</v>
      </c>
      <c r="E16">
        <v>45</v>
      </c>
      <c r="F16" t="s">
        <v>245</v>
      </c>
      <c r="G16" t="s">
        <v>241</v>
      </c>
    </row>
    <row r="17" spans="1:7">
      <c r="A17" t="s">
        <v>278</v>
      </c>
      <c r="B17" t="s">
        <v>279</v>
      </c>
      <c r="C17" t="s">
        <v>253</v>
      </c>
      <c r="D17" t="s">
        <v>265</v>
      </c>
      <c r="E17">
        <v>60</v>
      </c>
      <c r="F17" t="s">
        <v>245</v>
      </c>
      <c r="G17" t="s">
        <v>246</v>
      </c>
    </row>
    <row r="18" spans="1:7">
      <c r="A18" t="s">
        <v>280</v>
      </c>
      <c r="B18" t="s">
        <v>281</v>
      </c>
      <c r="C18" t="s">
        <v>253</v>
      </c>
      <c r="D18" t="s">
        <v>265</v>
      </c>
      <c r="E18">
        <v>30</v>
      </c>
      <c r="F18" t="s">
        <v>245</v>
      </c>
      <c r="G18" t="s">
        <v>246</v>
      </c>
    </row>
    <row r="19" spans="1:7">
      <c r="A19" t="s">
        <v>282</v>
      </c>
      <c r="B19" t="s">
        <v>283</v>
      </c>
      <c r="C19" t="s">
        <v>238</v>
      </c>
      <c r="D19" t="s">
        <v>265</v>
      </c>
      <c r="E19">
        <v>30</v>
      </c>
      <c r="F19" t="s">
        <v>250</v>
      </c>
      <c r="G19" t="s">
        <v>254</v>
      </c>
    </row>
    <row r="20" spans="1:7">
      <c r="A20" t="s">
        <v>284</v>
      </c>
      <c r="B20" t="s">
        <v>285</v>
      </c>
      <c r="C20" t="s">
        <v>244</v>
      </c>
      <c r="D20" t="s">
        <v>265</v>
      </c>
      <c r="E20">
        <v>45</v>
      </c>
      <c r="F20" t="s">
        <v>250</v>
      </c>
      <c r="G20" t="s">
        <v>246</v>
      </c>
    </row>
    <row r="21" spans="1:7">
      <c r="A21" t="s">
        <v>286</v>
      </c>
      <c r="B21" t="s">
        <v>287</v>
      </c>
      <c r="C21" t="s">
        <v>244</v>
      </c>
      <c r="D21" t="s">
        <v>265</v>
      </c>
      <c r="E21">
        <v>60</v>
      </c>
      <c r="F21" t="s">
        <v>245</v>
      </c>
      <c r="G21" t="s">
        <v>246</v>
      </c>
    </row>
  </sheetData>
  <autoFilter xmlns:etc="http://www.wps.cn/officeDocument/2017/etCustomData" ref="A1:G2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7"/>
  <cols>
    <col min="1" max="3" width="12" customWidth="1"/>
    <col min="4" max="5" width="20" customWidth="1"/>
    <col min="6" max="6" width="12" customWidth="1"/>
    <col min="7" max="7" width="21" customWidth="1"/>
    <col min="8" max="8" width="16" customWidth="1"/>
  </cols>
  <sheetData>
    <row r="1" ht="30" customHeight="1" spans="1:8">
      <c r="A1" s="1" t="s">
        <v>28</v>
      </c>
      <c r="B1" s="1" t="s">
        <v>22</v>
      </c>
      <c r="C1" s="1" t="s">
        <v>25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</row>
    <row r="2" spans="1:8">
      <c r="A2" t="s">
        <v>293</v>
      </c>
      <c r="B2" t="s">
        <v>65</v>
      </c>
      <c r="C2" t="s">
        <v>286</v>
      </c>
      <c r="D2">
        <v>43.3</v>
      </c>
      <c r="E2">
        <v>17</v>
      </c>
      <c r="F2">
        <v>10</v>
      </c>
      <c r="G2" s="2">
        <v>45757</v>
      </c>
      <c r="H2">
        <v>30</v>
      </c>
    </row>
    <row r="3" spans="1:8">
      <c r="A3" t="s">
        <v>294</v>
      </c>
      <c r="B3" t="s">
        <v>65</v>
      </c>
      <c r="C3" t="s">
        <v>263</v>
      </c>
      <c r="D3">
        <v>44.39</v>
      </c>
      <c r="E3">
        <v>12</v>
      </c>
      <c r="F3">
        <v>100</v>
      </c>
      <c r="G3" s="2">
        <v>45922</v>
      </c>
      <c r="H3">
        <v>90</v>
      </c>
    </row>
    <row r="4" spans="1:8">
      <c r="A4" t="s">
        <v>295</v>
      </c>
      <c r="B4" t="s">
        <v>65</v>
      </c>
      <c r="C4" t="s">
        <v>242</v>
      </c>
      <c r="D4">
        <v>45.1</v>
      </c>
      <c r="E4">
        <v>12</v>
      </c>
      <c r="F4">
        <v>20</v>
      </c>
      <c r="G4" s="2">
        <v>45801</v>
      </c>
      <c r="H4">
        <v>30</v>
      </c>
    </row>
    <row r="5" spans="1:8">
      <c r="A5" t="s">
        <v>296</v>
      </c>
      <c r="B5" t="s">
        <v>68</v>
      </c>
      <c r="C5" t="s">
        <v>261</v>
      </c>
      <c r="D5">
        <v>56.74</v>
      </c>
      <c r="E5">
        <v>24</v>
      </c>
      <c r="F5">
        <v>20</v>
      </c>
      <c r="G5" s="2">
        <v>45896</v>
      </c>
      <c r="H5">
        <v>30</v>
      </c>
    </row>
    <row r="6" spans="1:8">
      <c r="A6" t="s">
        <v>297</v>
      </c>
      <c r="B6" t="s">
        <v>68</v>
      </c>
      <c r="C6" t="s">
        <v>236</v>
      </c>
      <c r="D6">
        <v>65.54</v>
      </c>
      <c r="E6">
        <v>9</v>
      </c>
      <c r="F6">
        <v>50</v>
      </c>
      <c r="G6" s="2">
        <v>45831</v>
      </c>
      <c r="H6">
        <v>30</v>
      </c>
    </row>
    <row r="7" spans="1:8">
      <c r="A7" t="s">
        <v>298</v>
      </c>
      <c r="B7" t="s">
        <v>68</v>
      </c>
      <c r="C7" t="s">
        <v>280</v>
      </c>
      <c r="D7">
        <v>53.99</v>
      </c>
      <c r="E7">
        <v>15</v>
      </c>
      <c r="F7">
        <v>10</v>
      </c>
      <c r="G7" s="2">
        <v>45940</v>
      </c>
      <c r="H7">
        <v>60</v>
      </c>
    </row>
    <row r="8" spans="1:8">
      <c r="A8" t="s">
        <v>299</v>
      </c>
      <c r="B8" t="s">
        <v>71</v>
      </c>
      <c r="C8" t="s">
        <v>263</v>
      </c>
      <c r="D8">
        <v>94.06</v>
      </c>
      <c r="E8">
        <v>17</v>
      </c>
      <c r="F8">
        <v>20</v>
      </c>
      <c r="G8" s="2">
        <v>45676</v>
      </c>
      <c r="H8">
        <v>90</v>
      </c>
    </row>
    <row r="9" spans="1:8">
      <c r="A9" t="s">
        <v>300</v>
      </c>
      <c r="B9" t="s">
        <v>71</v>
      </c>
      <c r="C9" t="s">
        <v>276</v>
      </c>
      <c r="D9">
        <v>83.58</v>
      </c>
      <c r="E9">
        <v>35</v>
      </c>
      <c r="F9">
        <v>10</v>
      </c>
      <c r="G9" s="2">
        <v>45798</v>
      </c>
      <c r="H9">
        <v>60</v>
      </c>
    </row>
    <row r="10" spans="1:8">
      <c r="A10" t="s">
        <v>301</v>
      </c>
      <c r="B10" t="s">
        <v>71</v>
      </c>
      <c r="C10" t="s">
        <v>278</v>
      </c>
      <c r="D10">
        <v>84.63</v>
      </c>
      <c r="E10">
        <v>29</v>
      </c>
      <c r="F10">
        <v>10</v>
      </c>
      <c r="G10" s="2">
        <v>45847</v>
      </c>
      <c r="H10">
        <v>30</v>
      </c>
    </row>
    <row r="11" spans="1:8">
      <c r="A11" t="s">
        <v>302</v>
      </c>
      <c r="B11" t="s">
        <v>74</v>
      </c>
      <c r="C11" t="s">
        <v>268</v>
      </c>
      <c r="D11">
        <v>24.41</v>
      </c>
      <c r="E11">
        <v>16</v>
      </c>
      <c r="F11">
        <v>20</v>
      </c>
      <c r="G11" s="2">
        <v>45800</v>
      </c>
      <c r="H11">
        <v>90</v>
      </c>
    </row>
    <row r="12" spans="1:8">
      <c r="A12" t="s">
        <v>303</v>
      </c>
      <c r="B12" t="s">
        <v>74</v>
      </c>
      <c r="C12" t="s">
        <v>263</v>
      </c>
      <c r="D12">
        <v>27.46</v>
      </c>
      <c r="E12">
        <v>16</v>
      </c>
      <c r="F12">
        <v>50</v>
      </c>
      <c r="G12" s="2">
        <v>45669</v>
      </c>
      <c r="H12">
        <v>60</v>
      </c>
    </row>
    <row r="13" spans="1:8">
      <c r="A13" t="s">
        <v>304</v>
      </c>
      <c r="B13" t="s">
        <v>74</v>
      </c>
      <c r="C13" t="s">
        <v>242</v>
      </c>
      <c r="D13">
        <v>27.09</v>
      </c>
      <c r="E13">
        <v>28</v>
      </c>
      <c r="F13">
        <v>100</v>
      </c>
      <c r="G13" s="2">
        <v>45813</v>
      </c>
      <c r="H13">
        <v>30</v>
      </c>
    </row>
    <row r="14" spans="1:8">
      <c r="A14" t="s">
        <v>305</v>
      </c>
      <c r="B14" t="s">
        <v>77</v>
      </c>
      <c r="C14" t="s">
        <v>247</v>
      </c>
      <c r="D14">
        <v>35.77</v>
      </c>
      <c r="E14">
        <v>14</v>
      </c>
      <c r="F14">
        <v>100</v>
      </c>
      <c r="G14" s="2">
        <v>45943</v>
      </c>
      <c r="H14">
        <v>60</v>
      </c>
    </row>
    <row r="15" spans="1:8">
      <c r="A15" t="s">
        <v>306</v>
      </c>
      <c r="B15" t="s">
        <v>77</v>
      </c>
      <c r="C15" t="s">
        <v>272</v>
      </c>
      <c r="D15">
        <v>32.67</v>
      </c>
      <c r="E15">
        <v>30</v>
      </c>
      <c r="F15">
        <v>10</v>
      </c>
      <c r="G15" s="2">
        <v>45776</v>
      </c>
      <c r="H15">
        <v>30</v>
      </c>
    </row>
    <row r="16" spans="1:8">
      <c r="A16" t="s">
        <v>307</v>
      </c>
      <c r="B16" t="s">
        <v>77</v>
      </c>
      <c r="C16" t="s">
        <v>242</v>
      </c>
      <c r="D16">
        <v>35.26</v>
      </c>
      <c r="E16">
        <v>22</v>
      </c>
      <c r="F16">
        <v>50</v>
      </c>
      <c r="G16" s="2">
        <v>45939</v>
      </c>
      <c r="H16">
        <v>90</v>
      </c>
    </row>
    <row r="17" spans="1:8">
      <c r="A17" t="s">
        <v>308</v>
      </c>
      <c r="B17" t="s">
        <v>80</v>
      </c>
      <c r="C17" t="s">
        <v>286</v>
      </c>
      <c r="D17">
        <v>57.37</v>
      </c>
      <c r="E17">
        <v>9</v>
      </c>
      <c r="F17">
        <v>20</v>
      </c>
      <c r="G17" s="2">
        <v>45740</v>
      </c>
      <c r="H17">
        <v>30</v>
      </c>
    </row>
    <row r="18" spans="1:8">
      <c r="A18" t="s">
        <v>309</v>
      </c>
      <c r="B18" t="s">
        <v>80</v>
      </c>
      <c r="C18" t="s">
        <v>251</v>
      </c>
      <c r="D18">
        <v>48.16</v>
      </c>
      <c r="E18">
        <v>6</v>
      </c>
      <c r="F18">
        <v>10</v>
      </c>
      <c r="G18" s="2">
        <v>45862</v>
      </c>
      <c r="H18">
        <v>60</v>
      </c>
    </row>
    <row r="19" spans="1:8">
      <c r="A19" t="s">
        <v>310</v>
      </c>
      <c r="B19" t="s">
        <v>80</v>
      </c>
      <c r="C19" t="s">
        <v>261</v>
      </c>
      <c r="D19">
        <v>60.25</v>
      </c>
      <c r="E19">
        <v>6</v>
      </c>
      <c r="F19">
        <v>100</v>
      </c>
      <c r="G19" s="2">
        <v>45945</v>
      </c>
      <c r="H19">
        <v>60</v>
      </c>
    </row>
    <row r="20" spans="1:8">
      <c r="A20" t="s">
        <v>311</v>
      </c>
      <c r="B20" t="s">
        <v>82</v>
      </c>
      <c r="C20" t="s">
        <v>280</v>
      </c>
      <c r="D20">
        <v>10.53</v>
      </c>
      <c r="E20">
        <v>19</v>
      </c>
      <c r="F20">
        <v>20</v>
      </c>
      <c r="G20" s="2">
        <v>45906</v>
      </c>
      <c r="H20">
        <v>60</v>
      </c>
    </row>
    <row r="21" spans="1:8">
      <c r="A21" t="s">
        <v>312</v>
      </c>
      <c r="B21" t="s">
        <v>82</v>
      </c>
      <c r="C21" t="s">
        <v>266</v>
      </c>
      <c r="D21">
        <v>11.53</v>
      </c>
      <c r="E21">
        <v>5</v>
      </c>
      <c r="F21">
        <v>50</v>
      </c>
      <c r="G21" s="2">
        <v>45687</v>
      </c>
      <c r="H21">
        <v>90</v>
      </c>
    </row>
    <row r="22" spans="1:8">
      <c r="A22" t="s">
        <v>313</v>
      </c>
      <c r="B22" t="s">
        <v>82</v>
      </c>
      <c r="C22" t="s">
        <v>251</v>
      </c>
      <c r="D22">
        <v>11.84</v>
      </c>
      <c r="E22">
        <v>18</v>
      </c>
      <c r="F22">
        <v>20</v>
      </c>
      <c r="G22" s="2">
        <v>45841</v>
      </c>
      <c r="H22">
        <v>30</v>
      </c>
    </row>
    <row r="23" spans="1:8">
      <c r="A23" t="s">
        <v>314</v>
      </c>
      <c r="B23" t="s">
        <v>84</v>
      </c>
      <c r="C23" t="s">
        <v>274</v>
      </c>
      <c r="D23">
        <v>109.68</v>
      </c>
      <c r="E23">
        <v>17</v>
      </c>
      <c r="F23">
        <v>50</v>
      </c>
      <c r="G23" s="2">
        <v>45750</v>
      </c>
      <c r="H23">
        <v>60</v>
      </c>
    </row>
    <row r="24" spans="1:8">
      <c r="A24" t="s">
        <v>315</v>
      </c>
      <c r="B24" t="s">
        <v>84</v>
      </c>
      <c r="C24" t="s">
        <v>278</v>
      </c>
      <c r="D24">
        <v>100.26</v>
      </c>
      <c r="E24">
        <v>17</v>
      </c>
      <c r="F24">
        <v>20</v>
      </c>
      <c r="G24" s="2">
        <v>45749</v>
      </c>
      <c r="H24">
        <v>60</v>
      </c>
    </row>
    <row r="25" spans="1:8">
      <c r="A25" t="s">
        <v>316</v>
      </c>
      <c r="B25" t="s">
        <v>84</v>
      </c>
      <c r="C25" t="s">
        <v>236</v>
      </c>
      <c r="D25">
        <v>85.56</v>
      </c>
      <c r="E25">
        <v>11</v>
      </c>
      <c r="F25">
        <v>10</v>
      </c>
      <c r="G25" s="2">
        <v>45658</v>
      </c>
      <c r="H25">
        <v>30</v>
      </c>
    </row>
    <row r="26" spans="1:8">
      <c r="A26" t="s">
        <v>317</v>
      </c>
      <c r="B26" t="s">
        <v>86</v>
      </c>
      <c r="C26" t="s">
        <v>280</v>
      </c>
      <c r="D26">
        <v>17.8</v>
      </c>
      <c r="E26">
        <v>24</v>
      </c>
      <c r="F26">
        <v>10</v>
      </c>
      <c r="G26" s="2">
        <v>45837</v>
      </c>
      <c r="H26">
        <v>90</v>
      </c>
    </row>
    <row r="27" spans="1:8">
      <c r="A27" t="s">
        <v>318</v>
      </c>
      <c r="B27" t="s">
        <v>86</v>
      </c>
      <c r="C27" t="s">
        <v>251</v>
      </c>
      <c r="D27">
        <v>19.6</v>
      </c>
      <c r="E27">
        <v>24</v>
      </c>
      <c r="F27">
        <v>100</v>
      </c>
      <c r="G27" s="2">
        <v>45871</v>
      </c>
      <c r="H27">
        <v>60</v>
      </c>
    </row>
    <row r="28" spans="1:8">
      <c r="A28" t="s">
        <v>319</v>
      </c>
      <c r="B28" t="s">
        <v>86</v>
      </c>
      <c r="C28" t="s">
        <v>261</v>
      </c>
      <c r="D28">
        <v>20.16</v>
      </c>
      <c r="E28">
        <v>17</v>
      </c>
      <c r="F28">
        <v>10</v>
      </c>
      <c r="G28" s="2">
        <v>45811</v>
      </c>
      <c r="H28">
        <v>60</v>
      </c>
    </row>
    <row r="29" spans="1:8">
      <c r="A29" t="s">
        <v>320</v>
      </c>
      <c r="B29" t="s">
        <v>88</v>
      </c>
      <c r="C29" t="s">
        <v>261</v>
      </c>
      <c r="D29">
        <v>74.98</v>
      </c>
      <c r="E29">
        <v>17</v>
      </c>
      <c r="F29">
        <v>50</v>
      </c>
      <c r="G29" s="2">
        <v>45743</v>
      </c>
      <c r="H29">
        <v>60</v>
      </c>
    </row>
    <row r="30" spans="1:8">
      <c r="A30" t="s">
        <v>321</v>
      </c>
      <c r="B30" t="s">
        <v>88</v>
      </c>
      <c r="C30" t="s">
        <v>280</v>
      </c>
      <c r="D30">
        <v>81.09</v>
      </c>
      <c r="E30">
        <v>24</v>
      </c>
      <c r="F30">
        <v>10</v>
      </c>
      <c r="G30" s="2">
        <v>45725</v>
      </c>
      <c r="H30">
        <v>60</v>
      </c>
    </row>
    <row r="31" spans="1:8">
      <c r="A31" t="s">
        <v>322</v>
      </c>
      <c r="B31" t="s">
        <v>88</v>
      </c>
      <c r="C31" t="s">
        <v>272</v>
      </c>
      <c r="D31">
        <v>88.36</v>
      </c>
      <c r="E31">
        <v>22</v>
      </c>
      <c r="F31">
        <v>10</v>
      </c>
      <c r="G31" s="2">
        <v>45803</v>
      </c>
      <c r="H31">
        <v>90</v>
      </c>
    </row>
    <row r="32" spans="1:8">
      <c r="A32" t="s">
        <v>323</v>
      </c>
      <c r="B32" t="s">
        <v>90</v>
      </c>
      <c r="C32" t="s">
        <v>268</v>
      </c>
      <c r="D32">
        <v>64.03</v>
      </c>
      <c r="E32">
        <v>10</v>
      </c>
      <c r="F32">
        <v>100</v>
      </c>
      <c r="G32" s="2">
        <v>45661</v>
      </c>
      <c r="H32">
        <v>60</v>
      </c>
    </row>
    <row r="33" spans="1:8">
      <c r="A33" t="s">
        <v>324</v>
      </c>
      <c r="B33" t="s">
        <v>90</v>
      </c>
      <c r="C33" t="s">
        <v>274</v>
      </c>
      <c r="D33">
        <v>60.53</v>
      </c>
      <c r="E33">
        <v>7</v>
      </c>
      <c r="F33">
        <v>20</v>
      </c>
      <c r="G33" s="2">
        <v>45752</v>
      </c>
      <c r="H33">
        <v>90</v>
      </c>
    </row>
    <row r="34" spans="1:8">
      <c r="A34" t="s">
        <v>325</v>
      </c>
      <c r="B34" t="s">
        <v>90</v>
      </c>
      <c r="C34" t="s">
        <v>259</v>
      </c>
      <c r="D34">
        <v>76.51</v>
      </c>
      <c r="E34">
        <v>14</v>
      </c>
      <c r="F34">
        <v>50</v>
      </c>
      <c r="G34" s="2">
        <v>45661</v>
      </c>
      <c r="H34">
        <v>90</v>
      </c>
    </row>
    <row r="35" spans="1:8">
      <c r="A35" t="s">
        <v>326</v>
      </c>
      <c r="B35" t="s">
        <v>92</v>
      </c>
      <c r="C35" t="s">
        <v>259</v>
      </c>
      <c r="D35">
        <v>57.07</v>
      </c>
      <c r="E35">
        <v>14</v>
      </c>
      <c r="F35">
        <v>20</v>
      </c>
      <c r="G35" s="2">
        <v>45799</v>
      </c>
      <c r="H35">
        <v>60</v>
      </c>
    </row>
    <row r="36" spans="1:8">
      <c r="A36" t="s">
        <v>327</v>
      </c>
      <c r="B36" t="s">
        <v>92</v>
      </c>
      <c r="C36" t="s">
        <v>284</v>
      </c>
      <c r="D36">
        <v>68.11</v>
      </c>
      <c r="E36">
        <v>9</v>
      </c>
      <c r="F36">
        <v>50</v>
      </c>
      <c r="G36" s="2">
        <v>45916</v>
      </c>
      <c r="H36">
        <v>30</v>
      </c>
    </row>
    <row r="37" spans="1:8">
      <c r="A37" t="s">
        <v>328</v>
      </c>
      <c r="B37" t="s">
        <v>92</v>
      </c>
      <c r="C37" t="s">
        <v>278</v>
      </c>
      <c r="D37">
        <v>63.09</v>
      </c>
      <c r="E37">
        <v>3</v>
      </c>
      <c r="F37">
        <v>100</v>
      </c>
      <c r="G37" s="2">
        <v>45667</v>
      </c>
      <c r="H37">
        <v>30</v>
      </c>
    </row>
    <row r="38" spans="1:8">
      <c r="A38" t="s">
        <v>329</v>
      </c>
      <c r="B38" t="s">
        <v>94</v>
      </c>
      <c r="C38" t="s">
        <v>274</v>
      </c>
      <c r="D38">
        <v>6.85</v>
      </c>
      <c r="E38">
        <v>18</v>
      </c>
      <c r="F38">
        <v>10</v>
      </c>
      <c r="G38" s="2">
        <v>45794</v>
      </c>
      <c r="H38">
        <v>60</v>
      </c>
    </row>
    <row r="39" spans="1:8">
      <c r="A39" t="s">
        <v>330</v>
      </c>
      <c r="B39" t="s">
        <v>94</v>
      </c>
      <c r="C39" t="s">
        <v>286</v>
      </c>
      <c r="D39">
        <v>5.39</v>
      </c>
      <c r="E39">
        <v>28</v>
      </c>
      <c r="F39">
        <v>50</v>
      </c>
      <c r="G39" s="2">
        <v>45658</v>
      </c>
      <c r="H39">
        <v>60</v>
      </c>
    </row>
    <row r="40" spans="1:8">
      <c r="A40" t="s">
        <v>331</v>
      </c>
      <c r="B40" t="s">
        <v>94</v>
      </c>
      <c r="C40" t="s">
        <v>284</v>
      </c>
      <c r="D40">
        <v>5.1</v>
      </c>
      <c r="E40">
        <v>23</v>
      </c>
      <c r="F40">
        <v>10</v>
      </c>
      <c r="G40" s="2">
        <v>45927</v>
      </c>
      <c r="H40">
        <v>60</v>
      </c>
    </row>
    <row r="41" spans="1:8">
      <c r="A41" t="s">
        <v>332</v>
      </c>
      <c r="B41" t="s">
        <v>96</v>
      </c>
      <c r="C41" t="s">
        <v>282</v>
      </c>
      <c r="D41">
        <v>96.12</v>
      </c>
      <c r="E41">
        <v>23</v>
      </c>
      <c r="F41">
        <v>50</v>
      </c>
      <c r="G41" s="2">
        <v>45810</v>
      </c>
      <c r="H41">
        <v>30</v>
      </c>
    </row>
    <row r="42" spans="1:8">
      <c r="A42" t="s">
        <v>333</v>
      </c>
      <c r="B42" t="s">
        <v>96</v>
      </c>
      <c r="C42" t="s">
        <v>276</v>
      </c>
      <c r="D42">
        <v>100.92</v>
      </c>
      <c r="E42">
        <v>25</v>
      </c>
      <c r="F42">
        <v>100</v>
      </c>
      <c r="G42" s="2">
        <v>45761</v>
      </c>
      <c r="H42">
        <v>90</v>
      </c>
    </row>
    <row r="43" spans="1:8">
      <c r="A43" t="s">
        <v>334</v>
      </c>
      <c r="B43" t="s">
        <v>96</v>
      </c>
      <c r="C43" t="s">
        <v>270</v>
      </c>
      <c r="D43">
        <v>89.66</v>
      </c>
      <c r="E43">
        <v>9</v>
      </c>
      <c r="F43">
        <v>20</v>
      </c>
      <c r="G43" s="2">
        <v>45791</v>
      </c>
      <c r="H43">
        <v>90</v>
      </c>
    </row>
    <row r="44" spans="1:8">
      <c r="A44" t="s">
        <v>335</v>
      </c>
      <c r="B44" t="s">
        <v>98</v>
      </c>
      <c r="C44" t="s">
        <v>242</v>
      </c>
      <c r="D44">
        <v>33.43</v>
      </c>
      <c r="E44">
        <v>35</v>
      </c>
      <c r="F44">
        <v>50</v>
      </c>
      <c r="G44" s="2">
        <v>45775</v>
      </c>
      <c r="H44">
        <v>60</v>
      </c>
    </row>
    <row r="45" spans="1:8">
      <c r="A45" t="s">
        <v>336</v>
      </c>
      <c r="B45" t="s">
        <v>98</v>
      </c>
      <c r="C45" t="s">
        <v>268</v>
      </c>
      <c r="D45">
        <v>40.64</v>
      </c>
      <c r="E45">
        <v>30</v>
      </c>
      <c r="F45">
        <v>50</v>
      </c>
      <c r="G45" s="2">
        <v>45885</v>
      </c>
      <c r="H45">
        <v>30</v>
      </c>
    </row>
    <row r="46" spans="1:8">
      <c r="A46" t="s">
        <v>337</v>
      </c>
      <c r="B46" t="s">
        <v>98</v>
      </c>
      <c r="C46" t="s">
        <v>280</v>
      </c>
      <c r="D46">
        <v>34.77</v>
      </c>
      <c r="E46">
        <v>34</v>
      </c>
      <c r="F46">
        <v>10</v>
      </c>
      <c r="G46" s="2">
        <v>45814</v>
      </c>
      <c r="H46">
        <v>90</v>
      </c>
    </row>
    <row r="47" spans="1:8">
      <c r="A47" t="s">
        <v>338</v>
      </c>
      <c r="B47" t="s">
        <v>100</v>
      </c>
      <c r="C47" t="s">
        <v>236</v>
      </c>
      <c r="D47">
        <v>91.65</v>
      </c>
      <c r="E47">
        <v>18</v>
      </c>
      <c r="F47">
        <v>50</v>
      </c>
      <c r="G47" s="2">
        <v>45875</v>
      </c>
      <c r="H47">
        <v>30</v>
      </c>
    </row>
    <row r="48" spans="1:8">
      <c r="A48" t="s">
        <v>339</v>
      </c>
      <c r="B48" t="s">
        <v>100</v>
      </c>
      <c r="C48" t="s">
        <v>259</v>
      </c>
      <c r="D48">
        <v>82.76</v>
      </c>
      <c r="E48">
        <v>19</v>
      </c>
      <c r="F48">
        <v>100</v>
      </c>
      <c r="G48" s="2">
        <v>45828</v>
      </c>
      <c r="H48">
        <v>30</v>
      </c>
    </row>
    <row r="49" spans="1:8">
      <c r="A49" t="s">
        <v>340</v>
      </c>
      <c r="B49" t="s">
        <v>100</v>
      </c>
      <c r="C49" t="s">
        <v>263</v>
      </c>
      <c r="D49">
        <v>109.36</v>
      </c>
      <c r="E49">
        <v>18</v>
      </c>
      <c r="F49">
        <v>100</v>
      </c>
      <c r="G49" s="2">
        <v>45784</v>
      </c>
      <c r="H49">
        <v>60</v>
      </c>
    </row>
    <row r="50" spans="1:8">
      <c r="A50" t="s">
        <v>341</v>
      </c>
      <c r="B50" t="s">
        <v>102</v>
      </c>
      <c r="C50" t="s">
        <v>278</v>
      </c>
      <c r="D50">
        <v>71.74</v>
      </c>
      <c r="E50">
        <v>2</v>
      </c>
      <c r="F50">
        <v>10</v>
      </c>
      <c r="G50" s="2">
        <v>45794</v>
      </c>
      <c r="H50">
        <v>60</v>
      </c>
    </row>
    <row r="51" spans="1:8">
      <c r="A51" t="s">
        <v>342</v>
      </c>
      <c r="B51" t="s">
        <v>102</v>
      </c>
      <c r="C51" t="s">
        <v>266</v>
      </c>
      <c r="D51">
        <v>88.09</v>
      </c>
      <c r="E51">
        <v>14</v>
      </c>
      <c r="F51">
        <v>10</v>
      </c>
      <c r="G51" s="2">
        <v>45811</v>
      </c>
      <c r="H51">
        <v>30</v>
      </c>
    </row>
    <row r="52" spans="1:8">
      <c r="A52" t="s">
        <v>343</v>
      </c>
      <c r="B52" t="s">
        <v>102</v>
      </c>
      <c r="C52" t="s">
        <v>242</v>
      </c>
      <c r="D52">
        <v>68.53</v>
      </c>
      <c r="E52">
        <v>12</v>
      </c>
      <c r="F52">
        <v>20</v>
      </c>
      <c r="G52" s="2">
        <v>45867</v>
      </c>
      <c r="H52">
        <v>90</v>
      </c>
    </row>
    <row r="53" spans="1:8">
      <c r="A53" t="s">
        <v>344</v>
      </c>
      <c r="B53" t="s">
        <v>104</v>
      </c>
      <c r="C53" t="s">
        <v>284</v>
      </c>
      <c r="D53">
        <v>68.97</v>
      </c>
      <c r="E53">
        <v>12</v>
      </c>
      <c r="F53">
        <v>20</v>
      </c>
      <c r="G53" s="2">
        <v>45706</v>
      </c>
      <c r="H53">
        <v>90</v>
      </c>
    </row>
    <row r="54" spans="1:8">
      <c r="A54" t="s">
        <v>345</v>
      </c>
      <c r="B54" t="s">
        <v>104</v>
      </c>
      <c r="C54" t="s">
        <v>286</v>
      </c>
      <c r="D54">
        <v>89.67</v>
      </c>
      <c r="E54">
        <v>25</v>
      </c>
      <c r="F54">
        <v>20</v>
      </c>
      <c r="G54" s="2">
        <v>45720</v>
      </c>
      <c r="H54">
        <v>30</v>
      </c>
    </row>
    <row r="55" spans="1:8">
      <c r="A55" t="s">
        <v>346</v>
      </c>
      <c r="B55" t="s">
        <v>104</v>
      </c>
      <c r="C55" t="s">
        <v>266</v>
      </c>
      <c r="D55">
        <v>68</v>
      </c>
      <c r="E55">
        <v>5</v>
      </c>
      <c r="F55">
        <v>50</v>
      </c>
      <c r="G55" s="2">
        <v>45914</v>
      </c>
      <c r="H55">
        <v>30</v>
      </c>
    </row>
    <row r="56" spans="1:8">
      <c r="A56" t="s">
        <v>347</v>
      </c>
      <c r="B56" t="s">
        <v>106</v>
      </c>
      <c r="C56" t="s">
        <v>255</v>
      </c>
      <c r="D56">
        <v>85.78</v>
      </c>
      <c r="E56">
        <v>8</v>
      </c>
      <c r="F56">
        <v>50</v>
      </c>
      <c r="G56" s="2">
        <v>45788</v>
      </c>
      <c r="H56">
        <v>60</v>
      </c>
    </row>
    <row r="57" spans="1:8">
      <c r="A57" t="s">
        <v>348</v>
      </c>
      <c r="B57" t="s">
        <v>106</v>
      </c>
      <c r="C57" t="s">
        <v>266</v>
      </c>
      <c r="D57">
        <v>71.93</v>
      </c>
      <c r="E57">
        <v>6</v>
      </c>
      <c r="F57">
        <v>20</v>
      </c>
      <c r="G57" s="2">
        <v>45819</v>
      </c>
      <c r="H57">
        <v>30</v>
      </c>
    </row>
    <row r="58" spans="1:8">
      <c r="A58" t="s">
        <v>349</v>
      </c>
      <c r="B58" t="s">
        <v>106</v>
      </c>
      <c r="C58" t="s">
        <v>259</v>
      </c>
      <c r="D58">
        <v>65.06</v>
      </c>
      <c r="E58">
        <v>12</v>
      </c>
      <c r="F58">
        <v>10</v>
      </c>
      <c r="G58" s="2">
        <v>45665</v>
      </c>
      <c r="H58">
        <v>30</v>
      </c>
    </row>
    <row r="59" spans="1:8">
      <c r="A59" t="s">
        <v>350</v>
      </c>
      <c r="B59" t="s">
        <v>108</v>
      </c>
      <c r="C59" t="s">
        <v>259</v>
      </c>
      <c r="D59">
        <v>75.18</v>
      </c>
      <c r="E59">
        <v>24</v>
      </c>
      <c r="F59">
        <v>50</v>
      </c>
      <c r="G59" s="2">
        <v>45664</v>
      </c>
      <c r="H59">
        <v>60</v>
      </c>
    </row>
    <row r="60" spans="1:8">
      <c r="A60" t="s">
        <v>351</v>
      </c>
      <c r="B60" t="s">
        <v>108</v>
      </c>
      <c r="C60" t="s">
        <v>268</v>
      </c>
      <c r="D60">
        <v>71.59</v>
      </c>
      <c r="E60">
        <v>29</v>
      </c>
      <c r="F60">
        <v>100</v>
      </c>
      <c r="G60" s="2">
        <v>45739</v>
      </c>
      <c r="H60">
        <v>60</v>
      </c>
    </row>
    <row r="61" spans="1:8">
      <c r="A61" t="s">
        <v>352</v>
      </c>
      <c r="B61" t="s">
        <v>108</v>
      </c>
      <c r="C61" t="s">
        <v>274</v>
      </c>
      <c r="D61">
        <v>96.38</v>
      </c>
      <c r="E61">
        <v>21</v>
      </c>
      <c r="F61">
        <v>10</v>
      </c>
      <c r="G61" s="2">
        <v>45668</v>
      </c>
      <c r="H61">
        <v>60</v>
      </c>
    </row>
    <row r="62" spans="1:8">
      <c r="A62" t="s">
        <v>353</v>
      </c>
      <c r="B62" t="s">
        <v>110</v>
      </c>
      <c r="C62" t="s">
        <v>268</v>
      </c>
      <c r="D62">
        <v>102.78</v>
      </c>
      <c r="E62">
        <v>7</v>
      </c>
      <c r="F62">
        <v>20</v>
      </c>
      <c r="G62" s="2">
        <v>45772</v>
      </c>
      <c r="H62">
        <v>30</v>
      </c>
    </row>
    <row r="63" spans="1:8">
      <c r="A63" t="s">
        <v>354</v>
      </c>
      <c r="B63" t="s">
        <v>110</v>
      </c>
      <c r="C63" t="s">
        <v>266</v>
      </c>
      <c r="D63">
        <v>80.34</v>
      </c>
      <c r="E63">
        <v>13</v>
      </c>
      <c r="F63">
        <v>100</v>
      </c>
      <c r="G63" s="2">
        <v>45894</v>
      </c>
      <c r="H63">
        <v>30</v>
      </c>
    </row>
    <row r="64" spans="1:8">
      <c r="A64" t="s">
        <v>355</v>
      </c>
      <c r="B64" t="s">
        <v>110</v>
      </c>
      <c r="C64" t="s">
        <v>259</v>
      </c>
      <c r="D64">
        <v>80</v>
      </c>
      <c r="E64">
        <v>14</v>
      </c>
      <c r="F64">
        <v>100</v>
      </c>
      <c r="G64" s="2">
        <v>45811</v>
      </c>
      <c r="H64">
        <v>60</v>
      </c>
    </row>
    <row r="65" spans="1:8">
      <c r="A65" t="s">
        <v>356</v>
      </c>
      <c r="B65" t="s">
        <v>112</v>
      </c>
      <c r="C65" t="s">
        <v>259</v>
      </c>
      <c r="D65">
        <v>58.61</v>
      </c>
      <c r="E65">
        <v>27</v>
      </c>
      <c r="F65">
        <v>10</v>
      </c>
      <c r="G65" s="2">
        <v>45684</v>
      </c>
      <c r="H65">
        <v>30</v>
      </c>
    </row>
    <row r="66" spans="1:8">
      <c r="A66" t="s">
        <v>357</v>
      </c>
      <c r="B66" t="s">
        <v>112</v>
      </c>
      <c r="C66" t="s">
        <v>286</v>
      </c>
      <c r="D66">
        <v>65.09</v>
      </c>
      <c r="E66">
        <v>23</v>
      </c>
      <c r="F66">
        <v>10</v>
      </c>
      <c r="G66" s="2">
        <v>45830</v>
      </c>
      <c r="H66">
        <v>30</v>
      </c>
    </row>
    <row r="67" spans="1:8">
      <c r="A67" t="s">
        <v>358</v>
      </c>
      <c r="B67" t="s">
        <v>112</v>
      </c>
      <c r="C67" t="s">
        <v>247</v>
      </c>
      <c r="D67">
        <v>68.96</v>
      </c>
      <c r="E67">
        <v>32</v>
      </c>
      <c r="F67">
        <v>100</v>
      </c>
      <c r="G67" s="2">
        <v>45847</v>
      </c>
      <c r="H67">
        <v>60</v>
      </c>
    </row>
    <row r="68" spans="1:8">
      <c r="A68" t="s">
        <v>359</v>
      </c>
      <c r="B68" t="s">
        <v>114</v>
      </c>
      <c r="C68" t="s">
        <v>270</v>
      </c>
      <c r="D68">
        <v>8.04</v>
      </c>
      <c r="E68">
        <v>5</v>
      </c>
      <c r="F68">
        <v>100</v>
      </c>
      <c r="G68" s="2">
        <v>45896</v>
      </c>
      <c r="H68">
        <v>90</v>
      </c>
    </row>
    <row r="69" spans="1:8">
      <c r="A69" t="s">
        <v>360</v>
      </c>
      <c r="B69" t="s">
        <v>114</v>
      </c>
      <c r="C69" t="s">
        <v>282</v>
      </c>
      <c r="D69">
        <v>7.19</v>
      </c>
      <c r="E69">
        <v>13</v>
      </c>
      <c r="F69">
        <v>50</v>
      </c>
      <c r="G69" s="2">
        <v>45858</v>
      </c>
      <c r="H69">
        <v>60</v>
      </c>
    </row>
    <row r="70" spans="1:8">
      <c r="A70" t="s">
        <v>361</v>
      </c>
      <c r="B70" t="s">
        <v>114</v>
      </c>
      <c r="C70" t="s">
        <v>263</v>
      </c>
      <c r="D70">
        <v>6.89</v>
      </c>
      <c r="E70">
        <v>3</v>
      </c>
      <c r="F70">
        <v>10</v>
      </c>
      <c r="G70" s="2">
        <v>45874</v>
      </c>
      <c r="H70">
        <v>30</v>
      </c>
    </row>
    <row r="71" spans="1:8">
      <c r="A71" t="s">
        <v>362</v>
      </c>
      <c r="B71" t="s">
        <v>116</v>
      </c>
      <c r="C71" t="s">
        <v>263</v>
      </c>
      <c r="D71">
        <v>19.42</v>
      </c>
      <c r="E71">
        <v>2</v>
      </c>
      <c r="F71">
        <v>20</v>
      </c>
      <c r="G71" s="2">
        <v>45714</v>
      </c>
      <c r="H71">
        <v>90</v>
      </c>
    </row>
    <row r="72" spans="1:8">
      <c r="A72" t="s">
        <v>363</v>
      </c>
      <c r="B72" t="s">
        <v>116</v>
      </c>
      <c r="C72" t="s">
        <v>236</v>
      </c>
      <c r="D72">
        <v>22.48</v>
      </c>
      <c r="E72">
        <v>10</v>
      </c>
      <c r="F72">
        <v>10</v>
      </c>
      <c r="G72" s="2">
        <v>45872</v>
      </c>
      <c r="H72">
        <v>30</v>
      </c>
    </row>
    <row r="73" spans="1:8">
      <c r="A73" t="s">
        <v>364</v>
      </c>
      <c r="B73" t="s">
        <v>116</v>
      </c>
      <c r="C73" t="s">
        <v>282</v>
      </c>
      <c r="D73">
        <v>23.85</v>
      </c>
      <c r="E73">
        <v>13</v>
      </c>
      <c r="F73">
        <v>20</v>
      </c>
      <c r="G73" s="2">
        <v>45857</v>
      </c>
      <c r="H73">
        <v>30</v>
      </c>
    </row>
    <row r="74" spans="1:8">
      <c r="A74" t="s">
        <v>365</v>
      </c>
      <c r="B74" t="s">
        <v>118</v>
      </c>
      <c r="C74" t="s">
        <v>268</v>
      </c>
      <c r="D74">
        <v>59.35</v>
      </c>
      <c r="E74">
        <v>33</v>
      </c>
      <c r="F74">
        <v>50</v>
      </c>
      <c r="G74" s="2">
        <v>45760</v>
      </c>
      <c r="H74">
        <v>30</v>
      </c>
    </row>
    <row r="75" spans="1:8">
      <c r="A75" t="s">
        <v>366</v>
      </c>
      <c r="B75" t="s">
        <v>118</v>
      </c>
      <c r="C75" t="s">
        <v>251</v>
      </c>
      <c r="D75">
        <v>54.3</v>
      </c>
      <c r="E75">
        <v>27</v>
      </c>
      <c r="F75">
        <v>100</v>
      </c>
      <c r="G75" s="2">
        <v>45765</v>
      </c>
      <c r="H75">
        <v>30</v>
      </c>
    </row>
    <row r="76" spans="1:8">
      <c r="A76" t="s">
        <v>367</v>
      </c>
      <c r="B76" t="s">
        <v>118</v>
      </c>
      <c r="C76" t="s">
        <v>284</v>
      </c>
      <c r="D76">
        <v>43.74</v>
      </c>
      <c r="E76">
        <v>22</v>
      </c>
      <c r="F76">
        <v>50</v>
      </c>
      <c r="G76" s="2">
        <v>45696</v>
      </c>
      <c r="H76">
        <v>90</v>
      </c>
    </row>
    <row r="77" spans="1:8">
      <c r="A77" t="s">
        <v>368</v>
      </c>
      <c r="B77" t="s">
        <v>120</v>
      </c>
      <c r="C77" t="s">
        <v>284</v>
      </c>
      <c r="D77">
        <v>49.7</v>
      </c>
      <c r="E77">
        <v>34</v>
      </c>
      <c r="F77">
        <v>100</v>
      </c>
      <c r="G77" s="2">
        <v>45686</v>
      </c>
      <c r="H77">
        <v>60</v>
      </c>
    </row>
    <row r="78" spans="1:8">
      <c r="A78" t="s">
        <v>369</v>
      </c>
      <c r="B78" t="s">
        <v>120</v>
      </c>
      <c r="C78" t="s">
        <v>286</v>
      </c>
      <c r="D78">
        <v>35.98</v>
      </c>
      <c r="E78">
        <v>27</v>
      </c>
      <c r="F78">
        <v>100</v>
      </c>
      <c r="G78" s="2">
        <v>45893</v>
      </c>
      <c r="H78">
        <v>90</v>
      </c>
    </row>
    <row r="79" spans="1:8">
      <c r="A79" t="s">
        <v>370</v>
      </c>
      <c r="B79" t="s">
        <v>120</v>
      </c>
      <c r="C79" t="s">
        <v>268</v>
      </c>
      <c r="D79">
        <v>40.65</v>
      </c>
      <c r="E79">
        <v>25</v>
      </c>
      <c r="F79">
        <v>20</v>
      </c>
      <c r="G79" s="2">
        <v>45722</v>
      </c>
      <c r="H79">
        <v>60</v>
      </c>
    </row>
    <row r="80" spans="1:8">
      <c r="A80" t="s">
        <v>371</v>
      </c>
      <c r="B80" t="s">
        <v>122</v>
      </c>
      <c r="C80" t="s">
        <v>282</v>
      </c>
      <c r="D80">
        <v>11.54</v>
      </c>
      <c r="E80">
        <v>23</v>
      </c>
      <c r="F80">
        <v>50</v>
      </c>
      <c r="G80" s="2">
        <v>45668</v>
      </c>
      <c r="H80">
        <v>60</v>
      </c>
    </row>
    <row r="81" spans="1:8">
      <c r="A81" t="s">
        <v>372</v>
      </c>
      <c r="B81" t="s">
        <v>122</v>
      </c>
      <c r="C81" t="s">
        <v>270</v>
      </c>
      <c r="D81">
        <v>10.86</v>
      </c>
      <c r="E81">
        <v>13</v>
      </c>
      <c r="F81">
        <v>10</v>
      </c>
      <c r="G81" s="2">
        <v>45856</v>
      </c>
      <c r="H81">
        <v>90</v>
      </c>
    </row>
    <row r="82" spans="1:8">
      <c r="A82" t="s">
        <v>373</v>
      </c>
      <c r="B82" t="s">
        <v>122</v>
      </c>
      <c r="C82" t="s">
        <v>284</v>
      </c>
      <c r="D82">
        <v>10.07</v>
      </c>
      <c r="E82">
        <v>18</v>
      </c>
      <c r="F82">
        <v>50</v>
      </c>
      <c r="G82" s="2">
        <v>45764</v>
      </c>
      <c r="H82">
        <v>60</v>
      </c>
    </row>
    <row r="83" spans="1:8">
      <c r="A83" t="s">
        <v>374</v>
      </c>
      <c r="B83" t="s">
        <v>124</v>
      </c>
      <c r="C83" t="s">
        <v>272</v>
      </c>
      <c r="D83">
        <v>79.81</v>
      </c>
      <c r="E83">
        <v>23</v>
      </c>
      <c r="F83">
        <v>10</v>
      </c>
      <c r="G83" s="2">
        <v>45873</v>
      </c>
      <c r="H83">
        <v>90</v>
      </c>
    </row>
    <row r="84" spans="1:8">
      <c r="A84" t="s">
        <v>375</v>
      </c>
      <c r="B84" t="s">
        <v>124</v>
      </c>
      <c r="C84" t="s">
        <v>268</v>
      </c>
      <c r="D84">
        <v>89.1</v>
      </c>
      <c r="E84">
        <v>17</v>
      </c>
      <c r="F84">
        <v>50</v>
      </c>
      <c r="G84" s="2">
        <v>45746</v>
      </c>
      <c r="H84">
        <v>30</v>
      </c>
    </row>
    <row r="85" spans="1:8">
      <c r="A85" t="s">
        <v>376</v>
      </c>
      <c r="B85" t="s">
        <v>124</v>
      </c>
      <c r="C85" t="s">
        <v>274</v>
      </c>
      <c r="D85">
        <v>91.36</v>
      </c>
      <c r="E85">
        <v>17</v>
      </c>
      <c r="F85">
        <v>10</v>
      </c>
      <c r="G85" s="2">
        <v>45755</v>
      </c>
      <c r="H85">
        <v>90</v>
      </c>
    </row>
    <row r="86" spans="1:8">
      <c r="A86" t="s">
        <v>377</v>
      </c>
      <c r="B86" t="s">
        <v>126</v>
      </c>
      <c r="C86" t="s">
        <v>236</v>
      </c>
      <c r="D86">
        <v>93.31</v>
      </c>
      <c r="E86">
        <v>10</v>
      </c>
      <c r="F86">
        <v>10</v>
      </c>
      <c r="G86" s="2">
        <v>45833</v>
      </c>
      <c r="H86">
        <v>30</v>
      </c>
    </row>
    <row r="87" spans="1:8">
      <c r="A87" t="s">
        <v>378</v>
      </c>
      <c r="B87" t="s">
        <v>126</v>
      </c>
      <c r="C87" t="s">
        <v>272</v>
      </c>
      <c r="D87">
        <v>99.51</v>
      </c>
      <c r="E87">
        <v>6</v>
      </c>
      <c r="F87">
        <v>10</v>
      </c>
      <c r="G87" s="2">
        <v>45738</v>
      </c>
      <c r="H87">
        <v>60</v>
      </c>
    </row>
    <row r="88" spans="1:8">
      <c r="A88" t="s">
        <v>379</v>
      </c>
      <c r="B88" t="s">
        <v>126</v>
      </c>
      <c r="C88" t="s">
        <v>257</v>
      </c>
      <c r="D88">
        <v>87.06</v>
      </c>
      <c r="E88">
        <v>22</v>
      </c>
      <c r="F88">
        <v>20</v>
      </c>
      <c r="G88" s="2">
        <v>45713</v>
      </c>
      <c r="H88">
        <v>60</v>
      </c>
    </row>
    <row r="89" spans="1:8">
      <c r="A89" t="s">
        <v>380</v>
      </c>
      <c r="B89" t="s">
        <v>128</v>
      </c>
      <c r="C89" t="s">
        <v>278</v>
      </c>
      <c r="D89">
        <v>37.94</v>
      </c>
      <c r="E89">
        <v>4</v>
      </c>
      <c r="F89">
        <v>20</v>
      </c>
      <c r="G89" s="2">
        <v>45906</v>
      </c>
      <c r="H89">
        <v>90</v>
      </c>
    </row>
    <row r="90" spans="1:8">
      <c r="A90" t="s">
        <v>381</v>
      </c>
      <c r="B90" t="s">
        <v>128</v>
      </c>
      <c r="C90" t="s">
        <v>268</v>
      </c>
      <c r="D90">
        <v>37.91</v>
      </c>
      <c r="E90">
        <v>8</v>
      </c>
      <c r="F90">
        <v>20</v>
      </c>
      <c r="G90" s="2">
        <v>45915</v>
      </c>
      <c r="H90">
        <v>60</v>
      </c>
    </row>
    <row r="91" spans="1:8">
      <c r="A91" t="s">
        <v>382</v>
      </c>
      <c r="B91" t="s">
        <v>128</v>
      </c>
      <c r="C91" t="s">
        <v>282</v>
      </c>
      <c r="D91">
        <v>36.45</v>
      </c>
      <c r="E91">
        <v>6</v>
      </c>
      <c r="F91">
        <v>100</v>
      </c>
      <c r="G91" s="2">
        <v>45952</v>
      </c>
      <c r="H91">
        <v>60</v>
      </c>
    </row>
    <row r="92" spans="1:8">
      <c r="A92" t="s">
        <v>383</v>
      </c>
      <c r="B92" t="s">
        <v>130</v>
      </c>
      <c r="C92" t="s">
        <v>282</v>
      </c>
      <c r="D92">
        <v>42.08</v>
      </c>
      <c r="E92">
        <v>16</v>
      </c>
      <c r="F92">
        <v>20</v>
      </c>
      <c r="G92" s="2">
        <v>45853</v>
      </c>
      <c r="H92">
        <v>60</v>
      </c>
    </row>
    <row r="93" spans="1:8">
      <c r="A93" t="s">
        <v>384</v>
      </c>
      <c r="B93" t="s">
        <v>130</v>
      </c>
      <c r="C93" t="s">
        <v>255</v>
      </c>
      <c r="D93">
        <v>50.77</v>
      </c>
      <c r="E93">
        <v>10</v>
      </c>
      <c r="F93">
        <v>100</v>
      </c>
      <c r="G93" s="2">
        <v>45674</v>
      </c>
      <c r="H93">
        <v>60</v>
      </c>
    </row>
    <row r="94" spans="1:8">
      <c r="A94" t="s">
        <v>385</v>
      </c>
      <c r="B94" t="s">
        <v>130</v>
      </c>
      <c r="C94" t="s">
        <v>286</v>
      </c>
      <c r="D94">
        <v>47.03</v>
      </c>
      <c r="E94">
        <v>10</v>
      </c>
      <c r="F94">
        <v>100</v>
      </c>
      <c r="G94" s="2">
        <v>45867</v>
      </c>
      <c r="H94">
        <v>60</v>
      </c>
    </row>
    <row r="95" spans="1:8">
      <c r="A95" t="s">
        <v>386</v>
      </c>
      <c r="B95" t="s">
        <v>132</v>
      </c>
      <c r="C95" t="s">
        <v>266</v>
      </c>
      <c r="D95">
        <v>45.43</v>
      </c>
      <c r="E95">
        <v>27</v>
      </c>
      <c r="F95">
        <v>20</v>
      </c>
      <c r="G95" s="2">
        <v>45942</v>
      </c>
      <c r="H95">
        <v>30</v>
      </c>
    </row>
    <row r="96" spans="1:8">
      <c r="A96" t="s">
        <v>387</v>
      </c>
      <c r="B96" t="s">
        <v>132</v>
      </c>
      <c r="C96" t="s">
        <v>286</v>
      </c>
      <c r="D96">
        <v>44.38</v>
      </c>
      <c r="E96">
        <v>28</v>
      </c>
      <c r="F96">
        <v>10</v>
      </c>
      <c r="G96" s="2">
        <v>45814</v>
      </c>
      <c r="H96">
        <v>90</v>
      </c>
    </row>
    <row r="97" spans="1:8">
      <c r="A97" t="s">
        <v>388</v>
      </c>
      <c r="B97" t="s">
        <v>132</v>
      </c>
      <c r="C97" t="s">
        <v>255</v>
      </c>
      <c r="D97">
        <v>46.57</v>
      </c>
      <c r="E97">
        <v>33</v>
      </c>
      <c r="F97">
        <v>20</v>
      </c>
      <c r="G97" s="2">
        <v>45832</v>
      </c>
      <c r="H97">
        <v>60</v>
      </c>
    </row>
    <row r="98" spans="1:8">
      <c r="A98" t="s">
        <v>389</v>
      </c>
      <c r="B98" t="s">
        <v>134</v>
      </c>
      <c r="C98" t="s">
        <v>266</v>
      </c>
      <c r="D98">
        <v>40.22</v>
      </c>
      <c r="E98">
        <v>10</v>
      </c>
      <c r="F98">
        <v>100</v>
      </c>
      <c r="G98" s="2">
        <v>45938</v>
      </c>
      <c r="H98">
        <v>60</v>
      </c>
    </row>
    <row r="99" spans="1:8">
      <c r="A99" t="s">
        <v>390</v>
      </c>
      <c r="B99" t="s">
        <v>134</v>
      </c>
      <c r="C99" t="s">
        <v>242</v>
      </c>
      <c r="D99">
        <v>39.84</v>
      </c>
      <c r="E99">
        <v>10</v>
      </c>
      <c r="F99">
        <v>100</v>
      </c>
      <c r="G99" s="2">
        <v>45684</v>
      </c>
      <c r="H99">
        <v>60</v>
      </c>
    </row>
    <row r="100" spans="1:8">
      <c r="A100" t="s">
        <v>391</v>
      </c>
      <c r="B100" t="s">
        <v>134</v>
      </c>
      <c r="C100" t="s">
        <v>259</v>
      </c>
      <c r="D100">
        <v>31.52</v>
      </c>
      <c r="E100">
        <v>22</v>
      </c>
      <c r="F100">
        <v>50</v>
      </c>
      <c r="G100" s="2">
        <v>45838</v>
      </c>
      <c r="H100">
        <v>60</v>
      </c>
    </row>
    <row r="101" spans="1:8">
      <c r="A101" t="s">
        <v>392</v>
      </c>
      <c r="B101" t="s">
        <v>136</v>
      </c>
      <c r="C101" t="s">
        <v>266</v>
      </c>
      <c r="D101">
        <v>40.56</v>
      </c>
      <c r="E101">
        <v>2</v>
      </c>
      <c r="F101">
        <v>100</v>
      </c>
      <c r="G101" s="2">
        <v>45862</v>
      </c>
      <c r="H101">
        <v>30</v>
      </c>
    </row>
    <row r="102" spans="1:8">
      <c r="A102" t="s">
        <v>393</v>
      </c>
      <c r="B102" t="s">
        <v>136</v>
      </c>
      <c r="C102" t="s">
        <v>286</v>
      </c>
      <c r="D102">
        <v>34.3</v>
      </c>
      <c r="E102">
        <v>6</v>
      </c>
      <c r="F102">
        <v>20</v>
      </c>
      <c r="G102" s="2">
        <v>45752</v>
      </c>
      <c r="H102">
        <v>60</v>
      </c>
    </row>
    <row r="103" spans="1:8">
      <c r="A103" t="s">
        <v>394</v>
      </c>
      <c r="B103" t="s">
        <v>136</v>
      </c>
      <c r="C103" t="s">
        <v>242</v>
      </c>
      <c r="D103">
        <v>38.46</v>
      </c>
      <c r="E103">
        <v>3</v>
      </c>
      <c r="F103">
        <v>10</v>
      </c>
      <c r="G103" s="2">
        <v>45874</v>
      </c>
      <c r="H103">
        <v>30</v>
      </c>
    </row>
    <row r="104" spans="1:8">
      <c r="A104" t="s">
        <v>395</v>
      </c>
      <c r="B104" t="s">
        <v>138</v>
      </c>
      <c r="C104" t="s">
        <v>280</v>
      </c>
      <c r="D104">
        <v>58.8</v>
      </c>
      <c r="E104">
        <v>12</v>
      </c>
      <c r="F104">
        <v>20</v>
      </c>
      <c r="G104" s="2">
        <v>45734</v>
      </c>
      <c r="H104">
        <v>60</v>
      </c>
    </row>
    <row r="105" spans="1:8">
      <c r="A105" t="s">
        <v>396</v>
      </c>
      <c r="B105" t="s">
        <v>138</v>
      </c>
      <c r="C105" t="s">
        <v>276</v>
      </c>
      <c r="D105">
        <v>66.85</v>
      </c>
      <c r="E105">
        <v>7</v>
      </c>
      <c r="F105">
        <v>20</v>
      </c>
      <c r="G105" s="2">
        <v>45823</v>
      </c>
      <c r="H105">
        <v>90</v>
      </c>
    </row>
    <row r="106" spans="1:8">
      <c r="A106" t="s">
        <v>397</v>
      </c>
      <c r="B106" t="s">
        <v>138</v>
      </c>
      <c r="C106" t="s">
        <v>255</v>
      </c>
      <c r="D106">
        <v>61.98</v>
      </c>
      <c r="E106">
        <v>11</v>
      </c>
      <c r="F106">
        <v>20</v>
      </c>
      <c r="G106" s="2">
        <v>45780</v>
      </c>
      <c r="H106">
        <v>60</v>
      </c>
    </row>
    <row r="107" spans="1:8">
      <c r="A107" t="s">
        <v>398</v>
      </c>
      <c r="B107" t="s">
        <v>140</v>
      </c>
      <c r="C107" t="s">
        <v>236</v>
      </c>
      <c r="D107">
        <v>108.06</v>
      </c>
      <c r="E107">
        <v>9</v>
      </c>
      <c r="F107">
        <v>50</v>
      </c>
      <c r="G107" s="2">
        <v>45660</v>
      </c>
      <c r="H107">
        <v>90</v>
      </c>
    </row>
    <row r="108" spans="1:8">
      <c r="A108" t="s">
        <v>399</v>
      </c>
      <c r="B108" t="s">
        <v>140</v>
      </c>
      <c r="C108" t="s">
        <v>255</v>
      </c>
      <c r="D108">
        <v>99.03</v>
      </c>
      <c r="E108">
        <v>5</v>
      </c>
      <c r="F108">
        <v>20</v>
      </c>
      <c r="G108" s="2">
        <v>45669</v>
      </c>
      <c r="H108">
        <v>90</v>
      </c>
    </row>
    <row r="109" spans="1:8">
      <c r="A109" t="s">
        <v>400</v>
      </c>
      <c r="B109" t="s">
        <v>140</v>
      </c>
      <c r="C109" t="s">
        <v>266</v>
      </c>
      <c r="D109">
        <v>103.38</v>
      </c>
      <c r="E109">
        <v>8</v>
      </c>
      <c r="F109">
        <v>10</v>
      </c>
      <c r="G109" s="2">
        <v>45900</v>
      </c>
      <c r="H109">
        <v>60</v>
      </c>
    </row>
    <row r="110" spans="1:8">
      <c r="A110" t="s">
        <v>401</v>
      </c>
      <c r="B110" t="s">
        <v>142</v>
      </c>
      <c r="C110" t="s">
        <v>278</v>
      </c>
      <c r="D110">
        <v>44.52</v>
      </c>
      <c r="E110">
        <v>31</v>
      </c>
      <c r="F110">
        <v>10</v>
      </c>
      <c r="G110" s="2">
        <v>45864</v>
      </c>
      <c r="H110">
        <v>30</v>
      </c>
    </row>
    <row r="111" spans="1:8">
      <c r="A111" t="s">
        <v>402</v>
      </c>
      <c r="B111" t="s">
        <v>142</v>
      </c>
      <c r="C111" t="s">
        <v>270</v>
      </c>
      <c r="D111">
        <v>47.39</v>
      </c>
      <c r="E111">
        <v>22</v>
      </c>
      <c r="F111">
        <v>10</v>
      </c>
      <c r="G111" s="2">
        <v>45870</v>
      </c>
      <c r="H111">
        <v>90</v>
      </c>
    </row>
    <row r="112" spans="1:8">
      <c r="A112" t="s">
        <v>403</v>
      </c>
      <c r="B112" t="s">
        <v>142</v>
      </c>
      <c r="C112" t="s">
        <v>236</v>
      </c>
      <c r="D112">
        <v>40.98</v>
      </c>
      <c r="E112">
        <v>29</v>
      </c>
      <c r="F112">
        <v>100</v>
      </c>
      <c r="G112" s="2">
        <v>45677</v>
      </c>
      <c r="H112">
        <v>60</v>
      </c>
    </row>
    <row r="113" spans="1:8">
      <c r="A113" t="s">
        <v>404</v>
      </c>
      <c r="B113" t="s">
        <v>144</v>
      </c>
      <c r="C113" t="s">
        <v>276</v>
      </c>
      <c r="D113">
        <v>60.89</v>
      </c>
      <c r="E113">
        <v>26</v>
      </c>
      <c r="F113">
        <v>10</v>
      </c>
      <c r="G113" s="2">
        <v>45675</v>
      </c>
      <c r="H113">
        <v>30</v>
      </c>
    </row>
    <row r="114" spans="1:8">
      <c r="A114" t="s">
        <v>405</v>
      </c>
      <c r="B114" t="s">
        <v>144</v>
      </c>
      <c r="C114" t="s">
        <v>236</v>
      </c>
      <c r="D114">
        <v>73.58</v>
      </c>
      <c r="E114">
        <v>23</v>
      </c>
      <c r="F114">
        <v>100</v>
      </c>
      <c r="G114" s="2">
        <v>45744</v>
      </c>
      <c r="H114">
        <v>60</v>
      </c>
    </row>
    <row r="115" spans="1:8">
      <c r="A115" t="s">
        <v>406</v>
      </c>
      <c r="B115" t="s">
        <v>144</v>
      </c>
      <c r="C115" t="s">
        <v>278</v>
      </c>
      <c r="D115">
        <v>61.54</v>
      </c>
      <c r="E115">
        <v>17</v>
      </c>
      <c r="F115">
        <v>20</v>
      </c>
      <c r="G115" s="2">
        <v>45659</v>
      </c>
      <c r="H115">
        <v>90</v>
      </c>
    </row>
    <row r="116" spans="1:8">
      <c r="A116" t="s">
        <v>407</v>
      </c>
      <c r="B116" t="s">
        <v>146</v>
      </c>
      <c r="C116" t="s">
        <v>280</v>
      </c>
      <c r="D116">
        <v>25.21</v>
      </c>
      <c r="E116">
        <v>22</v>
      </c>
      <c r="F116">
        <v>100</v>
      </c>
      <c r="G116" s="2">
        <v>45944</v>
      </c>
      <c r="H116">
        <v>90</v>
      </c>
    </row>
    <row r="117" spans="1:8">
      <c r="A117" t="s">
        <v>408</v>
      </c>
      <c r="B117" t="s">
        <v>146</v>
      </c>
      <c r="C117" t="s">
        <v>266</v>
      </c>
      <c r="D117">
        <v>29.74</v>
      </c>
      <c r="E117">
        <v>21</v>
      </c>
      <c r="F117">
        <v>20</v>
      </c>
      <c r="G117" s="2">
        <v>45927</v>
      </c>
      <c r="H117">
        <v>60</v>
      </c>
    </row>
    <row r="118" spans="1:8">
      <c r="A118" t="s">
        <v>409</v>
      </c>
      <c r="B118" t="s">
        <v>146</v>
      </c>
      <c r="C118" t="s">
        <v>284</v>
      </c>
      <c r="D118">
        <v>25.68</v>
      </c>
      <c r="E118">
        <v>9</v>
      </c>
      <c r="F118">
        <v>10</v>
      </c>
      <c r="G118" s="2">
        <v>45933</v>
      </c>
      <c r="H118">
        <v>90</v>
      </c>
    </row>
    <row r="119" spans="1:8">
      <c r="A119" t="s">
        <v>410</v>
      </c>
      <c r="B119" t="s">
        <v>148</v>
      </c>
      <c r="C119" t="s">
        <v>272</v>
      </c>
      <c r="D119">
        <v>66.49</v>
      </c>
      <c r="E119">
        <v>30</v>
      </c>
      <c r="F119">
        <v>20</v>
      </c>
      <c r="G119" s="2">
        <v>45950</v>
      </c>
      <c r="H119">
        <v>60</v>
      </c>
    </row>
    <row r="120" spans="1:8">
      <c r="A120" t="s">
        <v>411</v>
      </c>
      <c r="B120" t="s">
        <v>148</v>
      </c>
      <c r="C120" t="s">
        <v>242</v>
      </c>
      <c r="D120">
        <v>60.52</v>
      </c>
      <c r="E120">
        <v>27</v>
      </c>
      <c r="F120">
        <v>10</v>
      </c>
      <c r="G120" s="2">
        <v>45716</v>
      </c>
      <c r="H120">
        <v>30</v>
      </c>
    </row>
    <row r="121" spans="1:8">
      <c r="A121" t="s">
        <v>412</v>
      </c>
      <c r="B121" t="s">
        <v>148</v>
      </c>
      <c r="C121" t="s">
        <v>282</v>
      </c>
      <c r="D121">
        <v>62.18</v>
      </c>
      <c r="E121">
        <v>22</v>
      </c>
      <c r="F121">
        <v>50</v>
      </c>
      <c r="G121" s="2">
        <v>45863</v>
      </c>
      <c r="H121">
        <v>60</v>
      </c>
    </row>
    <row r="122" spans="1:8">
      <c r="A122" t="s">
        <v>413</v>
      </c>
      <c r="B122" t="s">
        <v>150</v>
      </c>
      <c r="C122" t="s">
        <v>236</v>
      </c>
      <c r="D122">
        <v>68.71</v>
      </c>
      <c r="E122">
        <v>5</v>
      </c>
      <c r="F122">
        <v>50</v>
      </c>
      <c r="G122" s="2">
        <v>45921</v>
      </c>
      <c r="H122">
        <v>30</v>
      </c>
    </row>
    <row r="123" spans="1:8">
      <c r="A123" t="s">
        <v>414</v>
      </c>
      <c r="B123" t="s">
        <v>150</v>
      </c>
      <c r="C123" t="s">
        <v>247</v>
      </c>
      <c r="D123">
        <v>62.15</v>
      </c>
      <c r="E123">
        <v>4</v>
      </c>
      <c r="F123">
        <v>10</v>
      </c>
      <c r="G123" s="2">
        <v>45743</v>
      </c>
      <c r="H123">
        <v>90</v>
      </c>
    </row>
    <row r="124" spans="1:8">
      <c r="A124" t="s">
        <v>415</v>
      </c>
      <c r="B124" t="s">
        <v>150</v>
      </c>
      <c r="C124" t="s">
        <v>266</v>
      </c>
      <c r="D124">
        <v>67.79</v>
      </c>
      <c r="E124">
        <v>6</v>
      </c>
      <c r="F124">
        <v>10</v>
      </c>
      <c r="G124" s="2">
        <v>45683</v>
      </c>
      <c r="H124">
        <v>90</v>
      </c>
    </row>
    <row r="125" spans="1:8">
      <c r="A125" t="s">
        <v>416</v>
      </c>
      <c r="B125" t="s">
        <v>152</v>
      </c>
      <c r="C125" t="s">
        <v>284</v>
      </c>
      <c r="D125">
        <v>17.5</v>
      </c>
      <c r="E125">
        <v>31</v>
      </c>
      <c r="F125">
        <v>10</v>
      </c>
      <c r="G125" s="2">
        <v>45818</v>
      </c>
      <c r="H125">
        <v>30</v>
      </c>
    </row>
    <row r="126" spans="1:8">
      <c r="A126" t="s">
        <v>417</v>
      </c>
      <c r="B126" t="s">
        <v>152</v>
      </c>
      <c r="C126" t="s">
        <v>268</v>
      </c>
      <c r="D126">
        <v>24.55</v>
      </c>
      <c r="E126">
        <v>19</v>
      </c>
      <c r="F126">
        <v>50</v>
      </c>
      <c r="G126" s="2">
        <v>45755</v>
      </c>
      <c r="H126">
        <v>30</v>
      </c>
    </row>
    <row r="127" spans="1:8">
      <c r="A127" t="s">
        <v>418</v>
      </c>
      <c r="B127" t="s">
        <v>152</v>
      </c>
      <c r="C127" t="s">
        <v>278</v>
      </c>
      <c r="D127">
        <v>22.84</v>
      </c>
      <c r="E127">
        <v>22</v>
      </c>
      <c r="F127">
        <v>100</v>
      </c>
      <c r="G127" s="2">
        <v>45759</v>
      </c>
      <c r="H127">
        <v>90</v>
      </c>
    </row>
    <row r="128" spans="1:8">
      <c r="A128" t="s">
        <v>419</v>
      </c>
      <c r="B128" t="s">
        <v>154</v>
      </c>
      <c r="C128" t="s">
        <v>274</v>
      </c>
      <c r="D128">
        <v>72.43</v>
      </c>
      <c r="E128">
        <v>25</v>
      </c>
      <c r="F128">
        <v>10</v>
      </c>
      <c r="G128" s="2">
        <v>45881</v>
      </c>
      <c r="H128">
        <v>30</v>
      </c>
    </row>
    <row r="129" spans="1:8">
      <c r="A129" t="s">
        <v>420</v>
      </c>
      <c r="B129" t="s">
        <v>154</v>
      </c>
      <c r="C129" t="s">
        <v>278</v>
      </c>
      <c r="D129">
        <v>69.42</v>
      </c>
      <c r="E129">
        <v>10</v>
      </c>
      <c r="F129">
        <v>20</v>
      </c>
      <c r="G129" s="2">
        <v>45924</v>
      </c>
      <c r="H129">
        <v>90</v>
      </c>
    </row>
    <row r="130" spans="1:8">
      <c r="A130" t="s">
        <v>421</v>
      </c>
      <c r="B130" t="s">
        <v>154</v>
      </c>
      <c r="C130" t="s">
        <v>284</v>
      </c>
      <c r="D130">
        <v>62.43</v>
      </c>
      <c r="E130">
        <v>27</v>
      </c>
      <c r="F130">
        <v>10</v>
      </c>
      <c r="G130" s="2">
        <v>45660</v>
      </c>
      <c r="H130">
        <v>30</v>
      </c>
    </row>
    <row r="131" spans="1:8">
      <c r="A131" t="s">
        <v>422</v>
      </c>
      <c r="B131" t="s">
        <v>156</v>
      </c>
      <c r="C131" t="s">
        <v>236</v>
      </c>
      <c r="D131">
        <v>21.45</v>
      </c>
      <c r="E131">
        <v>13</v>
      </c>
      <c r="F131">
        <v>100</v>
      </c>
      <c r="G131" s="2">
        <v>45678</v>
      </c>
      <c r="H131">
        <v>90</v>
      </c>
    </row>
    <row r="132" spans="1:8">
      <c r="A132" t="s">
        <v>423</v>
      </c>
      <c r="B132" t="s">
        <v>156</v>
      </c>
      <c r="C132" t="s">
        <v>274</v>
      </c>
      <c r="D132">
        <v>19.22</v>
      </c>
      <c r="E132">
        <v>10</v>
      </c>
      <c r="F132">
        <v>50</v>
      </c>
      <c r="G132" s="2">
        <v>45928</v>
      </c>
      <c r="H132">
        <v>30</v>
      </c>
    </row>
    <row r="133" spans="1:8">
      <c r="A133" t="s">
        <v>424</v>
      </c>
      <c r="B133" t="s">
        <v>156</v>
      </c>
      <c r="C133" t="s">
        <v>284</v>
      </c>
      <c r="D133">
        <v>19.56</v>
      </c>
      <c r="E133">
        <v>11</v>
      </c>
      <c r="F133">
        <v>50</v>
      </c>
      <c r="G133" s="2">
        <v>45947</v>
      </c>
      <c r="H133">
        <v>60</v>
      </c>
    </row>
    <row r="134" spans="1:8">
      <c r="A134" t="s">
        <v>425</v>
      </c>
      <c r="B134" t="s">
        <v>158</v>
      </c>
      <c r="C134" t="s">
        <v>259</v>
      </c>
      <c r="D134">
        <v>71.81</v>
      </c>
      <c r="E134">
        <v>7</v>
      </c>
      <c r="F134">
        <v>50</v>
      </c>
      <c r="G134" s="2">
        <v>45898</v>
      </c>
      <c r="H134">
        <v>60</v>
      </c>
    </row>
    <row r="135" spans="1:8">
      <c r="A135" t="s">
        <v>426</v>
      </c>
      <c r="B135" t="s">
        <v>158</v>
      </c>
      <c r="C135" t="s">
        <v>282</v>
      </c>
      <c r="D135">
        <v>59.85</v>
      </c>
      <c r="E135">
        <v>2</v>
      </c>
      <c r="F135">
        <v>100</v>
      </c>
      <c r="G135" s="2">
        <v>45693</v>
      </c>
      <c r="H135">
        <v>60</v>
      </c>
    </row>
    <row r="136" spans="1:8">
      <c r="A136" t="s">
        <v>427</v>
      </c>
      <c r="B136" t="s">
        <v>158</v>
      </c>
      <c r="C136" t="s">
        <v>280</v>
      </c>
      <c r="D136">
        <v>74.82</v>
      </c>
      <c r="E136">
        <v>4</v>
      </c>
      <c r="F136">
        <v>20</v>
      </c>
      <c r="G136" s="2">
        <v>45704</v>
      </c>
      <c r="H136">
        <v>90</v>
      </c>
    </row>
    <row r="137" spans="1:8">
      <c r="A137" t="s">
        <v>428</v>
      </c>
      <c r="B137" t="s">
        <v>160</v>
      </c>
      <c r="C137" t="s">
        <v>286</v>
      </c>
      <c r="D137">
        <v>84.29</v>
      </c>
      <c r="E137">
        <v>21</v>
      </c>
      <c r="F137">
        <v>20</v>
      </c>
      <c r="G137" s="2">
        <v>45803</v>
      </c>
      <c r="H137">
        <v>90</v>
      </c>
    </row>
    <row r="138" spans="1:8">
      <c r="A138" t="s">
        <v>429</v>
      </c>
      <c r="B138" t="s">
        <v>160</v>
      </c>
      <c r="C138" t="s">
        <v>257</v>
      </c>
      <c r="D138">
        <v>90.49</v>
      </c>
      <c r="E138">
        <v>32</v>
      </c>
      <c r="F138">
        <v>50</v>
      </c>
      <c r="G138" s="2">
        <v>45706</v>
      </c>
      <c r="H138">
        <v>90</v>
      </c>
    </row>
    <row r="139" spans="1:8">
      <c r="A139" t="s">
        <v>430</v>
      </c>
      <c r="B139" t="s">
        <v>160</v>
      </c>
      <c r="C139" t="s">
        <v>259</v>
      </c>
      <c r="D139">
        <v>98.09</v>
      </c>
      <c r="E139">
        <v>14</v>
      </c>
      <c r="F139">
        <v>10</v>
      </c>
      <c r="G139" s="2">
        <v>45776</v>
      </c>
      <c r="H139">
        <v>30</v>
      </c>
    </row>
    <row r="140" spans="1:8">
      <c r="A140" t="s">
        <v>431</v>
      </c>
      <c r="B140" t="s">
        <v>162</v>
      </c>
      <c r="C140" t="s">
        <v>236</v>
      </c>
      <c r="D140">
        <v>94.76</v>
      </c>
      <c r="E140">
        <v>12</v>
      </c>
      <c r="F140">
        <v>100</v>
      </c>
      <c r="G140" s="2">
        <v>45875</v>
      </c>
      <c r="H140">
        <v>60</v>
      </c>
    </row>
    <row r="141" spans="1:8">
      <c r="A141" t="s">
        <v>432</v>
      </c>
      <c r="B141" t="s">
        <v>162</v>
      </c>
      <c r="C141" t="s">
        <v>251</v>
      </c>
      <c r="D141">
        <v>99.34</v>
      </c>
      <c r="E141">
        <v>4</v>
      </c>
      <c r="F141">
        <v>50</v>
      </c>
      <c r="G141" s="2">
        <v>45766</v>
      </c>
      <c r="H141">
        <v>60</v>
      </c>
    </row>
    <row r="142" spans="1:8">
      <c r="A142" t="s">
        <v>433</v>
      </c>
      <c r="B142" t="s">
        <v>162</v>
      </c>
      <c r="C142" t="s">
        <v>257</v>
      </c>
      <c r="D142">
        <v>88.51</v>
      </c>
      <c r="E142">
        <v>12</v>
      </c>
      <c r="F142">
        <v>10</v>
      </c>
      <c r="G142" s="2">
        <v>45793</v>
      </c>
      <c r="H142">
        <v>30</v>
      </c>
    </row>
    <row r="143" spans="1:8">
      <c r="A143" t="s">
        <v>434</v>
      </c>
      <c r="B143" t="s">
        <v>164</v>
      </c>
      <c r="C143" t="s">
        <v>284</v>
      </c>
      <c r="D143">
        <v>78.73</v>
      </c>
      <c r="E143">
        <v>22</v>
      </c>
      <c r="F143">
        <v>20</v>
      </c>
      <c r="G143" s="2">
        <v>45872</v>
      </c>
      <c r="H143">
        <v>60</v>
      </c>
    </row>
    <row r="144" spans="1:8">
      <c r="A144" t="s">
        <v>435</v>
      </c>
      <c r="B144" t="s">
        <v>164</v>
      </c>
      <c r="C144" t="s">
        <v>266</v>
      </c>
      <c r="D144">
        <v>84.2</v>
      </c>
      <c r="E144">
        <v>13</v>
      </c>
      <c r="F144">
        <v>100</v>
      </c>
      <c r="G144" s="2">
        <v>45921</v>
      </c>
      <c r="H144">
        <v>60</v>
      </c>
    </row>
    <row r="145" spans="1:8">
      <c r="A145" t="s">
        <v>436</v>
      </c>
      <c r="B145" t="s">
        <v>164</v>
      </c>
      <c r="C145" t="s">
        <v>282</v>
      </c>
      <c r="D145">
        <v>90.51</v>
      </c>
      <c r="E145">
        <v>14</v>
      </c>
      <c r="F145">
        <v>100</v>
      </c>
      <c r="G145" s="2">
        <v>45944</v>
      </c>
      <c r="H145">
        <v>90</v>
      </c>
    </row>
    <row r="146" spans="1:8">
      <c r="A146" t="s">
        <v>437</v>
      </c>
      <c r="B146" t="s">
        <v>166</v>
      </c>
      <c r="C146" t="s">
        <v>284</v>
      </c>
      <c r="D146">
        <v>36.63</v>
      </c>
      <c r="E146">
        <v>10</v>
      </c>
      <c r="F146">
        <v>50</v>
      </c>
      <c r="G146" s="2">
        <v>45945</v>
      </c>
      <c r="H146">
        <v>30</v>
      </c>
    </row>
    <row r="147" spans="1:8">
      <c r="A147" t="s">
        <v>438</v>
      </c>
      <c r="B147" t="s">
        <v>166</v>
      </c>
      <c r="C147" t="s">
        <v>242</v>
      </c>
      <c r="D147">
        <v>37.77</v>
      </c>
      <c r="E147">
        <v>15</v>
      </c>
      <c r="F147">
        <v>100</v>
      </c>
      <c r="G147" s="2">
        <v>45695</v>
      </c>
      <c r="H147">
        <v>60</v>
      </c>
    </row>
    <row r="148" spans="1:8">
      <c r="A148" t="s">
        <v>439</v>
      </c>
      <c r="B148" t="s">
        <v>166</v>
      </c>
      <c r="C148" t="s">
        <v>268</v>
      </c>
      <c r="D148">
        <v>30.68</v>
      </c>
      <c r="E148">
        <v>12</v>
      </c>
      <c r="F148">
        <v>10</v>
      </c>
      <c r="G148" s="2">
        <v>45723</v>
      </c>
      <c r="H148">
        <v>30</v>
      </c>
    </row>
    <row r="149" spans="1:8">
      <c r="A149" t="s">
        <v>440</v>
      </c>
      <c r="B149" t="s">
        <v>168</v>
      </c>
      <c r="C149" t="s">
        <v>282</v>
      </c>
      <c r="D149">
        <v>87.09</v>
      </c>
      <c r="E149">
        <v>18</v>
      </c>
      <c r="F149">
        <v>20</v>
      </c>
      <c r="G149" s="2">
        <v>45669</v>
      </c>
      <c r="H149">
        <v>90</v>
      </c>
    </row>
    <row r="150" spans="1:8">
      <c r="A150" t="s">
        <v>441</v>
      </c>
      <c r="B150" t="s">
        <v>168</v>
      </c>
      <c r="C150" t="s">
        <v>280</v>
      </c>
      <c r="D150">
        <v>74.52</v>
      </c>
      <c r="E150">
        <v>31</v>
      </c>
      <c r="F150">
        <v>20</v>
      </c>
      <c r="G150" s="2">
        <v>45873</v>
      </c>
      <c r="H150">
        <v>60</v>
      </c>
    </row>
    <row r="151" spans="1:8">
      <c r="A151" t="s">
        <v>442</v>
      </c>
      <c r="B151" t="s">
        <v>168</v>
      </c>
      <c r="C151" t="s">
        <v>270</v>
      </c>
      <c r="D151">
        <v>87.55</v>
      </c>
      <c r="E151">
        <v>24</v>
      </c>
      <c r="F151">
        <v>20</v>
      </c>
      <c r="G151" s="2">
        <v>45724</v>
      </c>
      <c r="H151">
        <v>90</v>
      </c>
    </row>
    <row r="152" spans="1:8">
      <c r="A152" t="s">
        <v>443</v>
      </c>
      <c r="B152" t="s">
        <v>170</v>
      </c>
      <c r="C152" t="s">
        <v>272</v>
      </c>
      <c r="D152">
        <v>3.72</v>
      </c>
      <c r="E152">
        <v>2</v>
      </c>
      <c r="F152">
        <v>100</v>
      </c>
      <c r="G152" s="2">
        <v>45895</v>
      </c>
      <c r="H152">
        <v>30</v>
      </c>
    </row>
    <row r="153" spans="1:8">
      <c r="A153" t="s">
        <v>444</v>
      </c>
      <c r="B153" t="s">
        <v>170</v>
      </c>
      <c r="C153" t="s">
        <v>278</v>
      </c>
      <c r="D153">
        <v>3.72</v>
      </c>
      <c r="E153">
        <v>8</v>
      </c>
      <c r="F153">
        <v>50</v>
      </c>
      <c r="G153" s="2">
        <v>45682</v>
      </c>
      <c r="H153">
        <v>30</v>
      </c>
    </row>
    <row r="154" spans="1:8">
      <c r="A154" t="s">
        <v>445</v>
      </c>
      <c r="B154" t="s">
        <v>170</v>
      </c>
      <c r="C154" t="s">
        <v>282</v>
      </c>
      <c r="D154">
        <v>3.8</v>
      </c>
      <c r="E154">
        <v>9</v>
      </c>
      <c r="F154">
        <v>100</v>
      </c>
      <c r="G154" s="2">
        <v>45749</v>
      </c>
      <c r="H154">
        <v>30</v>
      </c>
    </row>
    <row r="155" spans="1:8">
      <c r="A155" t="s">
        <v>446</v>
      </c>
      <c r="B155" t="s">
        <v>172</v>
      </c>
      <c r="C155" t="s">
        <v>284</v>
      </c>
      <c r="D155">
        <v>3.02</v>
      </c>
      <c r="E155">
        <v>10</v>
      </c>
      <c r="F155">
        <v>100</v>
      </c>
      <c r="G155" s="2">
        <v>45740</v>
      </c>
      <c r="H155">
        <v>30</v>
      </c>
    </row>
    <row r="156" spans="1:8">
      <c r="A156" t="s">
        <v>447</v>
      </c>
      <c r="B156" t="s">
        <v>172</v>
      </c>
      <c r="C156" t="s">
        <v>251</v>
      </c>
      <c r="D156">
        <v>3.13</v>
      </c>
      <c r="E156">
        <v>8</v>
      </c>
      <c r="F156">
        <v>50</v>
      </c>
      <c r="G156" s="2">
        <v>45920</v>
      </c>
      <c r="H156">
        <v>30</v>
      </c>
    </row>
    <row r="157" spans="1:8">
      <c r="A157" t="s">
        <v>448</v>
      </c>
      <c r="B157" t="s">
        <v>172</v>
      </c>
      <c r="C157" t="s">
        <v>263</v>
      </c>
      <c r="D157">
        <v>3.6</v>
      </c>
      <c r="E157">
        <v>6</v>
      </c>
      <c r="F157">
        <v>50</v>
      </c>
      <c r="G157" s="2">
        <v>45697</v>
      </c>
      <c r="H157">
        <v>30</v>
      </c>
    </row>
    <row r="158" spans="1:8">
      <c r="A158" t="s">
        <v>449</v>
      </c>
      <c r="B158" t="s">
        <v>174</v>
      </c>
      <c r="C158" t="s">
        <v>236</v>
      </c>
      <c r="D158">
        <v>56.65</v>
      </c>
      <c r="E158">
        <v>27</v>
      </c>
      <c r="F158">
        <v>10</v>
      </c>
      <c r="G158" s="2">
        <v>45795</v>
      </c>
      <c r="H158">
        <v>90</v>
      </c>
    </row>
    <row r="159" spans="1:8">
      <c r="A159" t="s">
        <v>450</v>
      </c>
      <c r="B159" t="s">
        <v>174</v>
      </c>
      <c r="C159" t="s">
        <v>272</v>
      </c>
      <c r="D159">
        <v>56.73</v>
      </c>
      <c r="E159">
        <v>19</v>
      </c>
      <c r="F159">
        <v>50</v>
      </c>
      <c r="G159" s="2">
        <v>45722</v>
      </c>
      <c r="H159">
        <v>30</v>
      </c>
    </row>
    <row r="160" spans="1:8">
      <c r="A160" t="s">
        <v>451</v>
      </c>
      <c r="B160" t="s">
        <v>174</v>
      </c>
      <c r="C160" t="s">
        <v>270</v>
      </c>
      <c r="D160">
        <v>53.82</v>
      </c>
      <c r="E160">
        <v>16</v>
      </c>
      <c r="F160">
        <v>100</v>
      </c>
      <c r="G160" s="2">
        <v>45848</v>
      </c>
      <c r="H160">
        <v>30</v>
      </c>
    </row>
    <row r="161" spans="1:8">
      <c r="A161" t="s">
        <v>452</v>
      </c>
      <c r="B161" t="s">
        <v>176</v>
      </c>
      <c r="C161" t="s">
        <v>272</v>
      </c>
      <c r="D161">
        <v>31.84</v>
      </c>
      <c r="E161">
        <v>13</v>
      </c>
      <c r="F161">
        <v>10</v>
      </c>
      <c r="G161" s="2">
        <v>45787</v>
      </c>
      <c r="H161">
        <v>30</v>
      </c>
    </row>
    <row r="162" spans="1:8">
      <c r="A162" t="s">
        <v>453</v>
      </c>
      <c r="B162" t="s">
        <v>176</v>
      </c>
      <c r="C162" t="s">
        <v>274</v>
      </c>
      <c r="D162">
        <v>31.4</v>
      </c>
      <c r="E162">
        <v>13</v>
      </c>
      <c r="F162">
        <v>100</v>
      </c>
      <c r="G162" s="2">
        <v>45934</v>
      </c>
      <c r="H162">
        <v>90</v>
      </c>
    </row>
    <row r="163" spans="1:8">
      <c r="A163" t="s">
        <v>454</v>
      </c>
      <c r="B163" t="s">
        <v>176</v>
      </c>
      <c r="C163" t="s">
        <v>259</v>
      </c>
      <c r="D163">
        <v>34.04</v>
      </c>
      <c r="E163">
        <v>14</v>
      </c>
      <c r="F163">
        <v>100</v>
      </c>
      <c r="G163" s="2">
        <v>45871</v>
      </c>
      <c r="H163">
        <v>30</v>
      </c>
    </row>
    <row r="164" spans="1:8">
      <c r="A164" t="s">
        <v>455</v>
      </c>
      <c r="B164" t="s">
        <v>178</v>
      </c>
      <c r="C164" t="s">
        <v>257</v>
      </c>
      <c r="D164">
        <v>45.67</v>
      </c>
      <c r="E164">
        <v>15</v>
      </c>
      <c r="F164">
        <v>50</v>
      </c>
      <c r="G164" s="2">
        <v>45885</v>
      </c>
      <c r="H164">
        <v>90</v>
      </c>
    </row>
    <row r="165" spans="1:8">
      <c r="A165" t="s">
        <v>456</v>
      </c>
      <c r="B165" t="s">
        <v>178</v>
      </c>
      <c r="C165" t="s">
        <v>242</v>
      </c>
      <c r="D165">
        <v>63.98</v>
      </c>
      <c r="E165">
        <v>28</v>
      </c>
      <c r="F165">
        <v>50</v>
      </c>
      <c r="G165" s="2">
        <v>45685</v>
      </c>
      <c r="H165">
        <v>90</v>
      </c>
    </row>
    <row r="166" spans="1:8">
      <c r="A166" t="s">
        <v>457</v>
      </c>
      <c r="B166" t="s">
        <v>178</v>
      </c>
      <c r="C166" t="s">
        <v>251</v>
      </c>
      <c r="D166">
        <v>48.38</v>
      </c>
      <c r="E166">
        <v>29</v>
      </c>
      <c r="F166">
        <v>100</v>
      </c>
      <c r="G166" s="2">
        <v>45665</v>
      </c>
      <c r="H166">
        <v>60</v>
      </c>
    </row>
    <row r="167" spans="1:8">
      <c r="A167" t="s">
        <v>458</v>
      </c>
      <c r="B167" t="s">
        <v>180</v>
      </c>
      <c r="C167" t="s">
        <v>255</v>
      </c>
      <c r="D167">
        <v>104.08</v>
      </c>
      <c r="E167">
        <v>24</v>
      </c>
      <c r="F167">
        <v>50</v>
      </c>
      <c r="G167" s="2">
        <v>45847</v>
      </c>
      <c r="H167">
        <v>90</v>
      </c>
    </row>
    <row r="168" spans="1:8">
      <c r="A168" t="s">
        <v>459</v>
      </c>
      <c r="B168" t="s">
        <v>180</v>
      </c>
      <c r="C168" t="s">
        <v>270</v>
      </c>
      <c r="D168">
        <v>104.35</v>
      </c>
      <c r="E168">
        <v>24</v>
      </c>
      <c r="F168">
        <v>100</v>
      </c>
      <c r="G168" s="2">
        <v>45915</v>
      </c>
      <c r="H168">
        <v>60</v>
      </c>
    </row>
    <row r="169" spans="1:8">
      <c r="A169" t="s">
        <v>460</v>
      </c>
      <c r="B169" t="s">
        <v>180</v>
      </c>
      <c r="C169" t="s">
        <v>274</v>
      </c>
      <c r="D169">
        <v>88.94</v>
      </c>
      <c r="E169">
        <v>32</v>
      </c>
      <c r="F169">
        <v>100</v>
      </c>
      <c r="G169" s="2">
        <v>45945</v>
      </c>
      <c r="H169">
        <v>60</v>
      </c>
    </row>
    <row r="170" spans="1:8">
      <c r="A170" t="s">
        <v>461</v>
      </c>
      <c r="B170" t="s">
        <v>182</v>
      </c>
      <c r="C170" t="s">
        <v>255</v>
      </c>
      <c r="D170">
        <v>47.93</v>
      </c>
      <c r="E170">
        <v>31</v>
      </c>
      <c r="F170">
        <v>100</v>
      </c>
      <c r="G170" s="2">
        <v>45890</v>
      </c>
      <c r="H170">
        <v>90</v>
      </c>
    </row>
    <row r="171" spans="1:8">
      <c r="A171" t="s">
        <v>462</v>
      </c>
      <c r="B171" t="s">
        <v>182</v>
      </c>
      <c r="C171" t="s">
        <v>286</v>
      </c>
      <c r="D171">
        <v>52.9</v>
      </c>
      <c r="E171">
        <v>26</v>
      </c>
      <c r="F171">
        <v>10</v>
      </c>
      <c r="G171" s="2">
        <v>45806</v>
      </c>
      <c r="H171">
        <v>60</v>
      </c>
    </row>
    <row r="172" spans="1:8">
      <c r="A172" t="s">
        <v>463</v>
      </c>
      <c r="B172" t="s">
        <v>182</v>
      </c>
      <c r="C172" t="s">
        <v>247</v>
      </c>
      <c r="D172">
        <v>65.14</v>
      </c>
      <c r="E172">
        <v>32</v>
      </c>
      <c r="F172">
        <v>100</v>
      </c>
      <c r="G172" s="2">
        <v>45881</v>
      </c>
      <c r="H172">
        <v>90</v>
      </c>
    </row>
    <row r="173" spans="1:8">
      <c r="A173" t="s">
        <v>464</v>
      </c>
      <c r="B173" t="s">
        <v>184</v>
      </c>
      <c r="C173" t="s">
        <v>270</v>
      </c>
      <c r="D173">
        <v>57.74</v>
      </c>
      <c r="E173">
        <v>10</v>
      </c>
      <c r="F173">
        <v>50</v>
      </c>
      <c r="G173" s="2">
        <v>45775</v>
      </c>
      <c r="H173">
        <v>90</v>
      </c>
    </row>
    <row r="174" spans="1:8">
      <c r="A174" t="s">
        <v>465</v>
      </c>
      <c r="B174" t="s">
        <v>184</v>
      </c>
      <c r="C174" t="s">
        <v>266</v>
      </c>
      <c r="D174">
        <v>50.4</v>
      </c>
      <c r="E174">
        <v>7</v>
      </c>
      <c r="F174">
        <v>10</v>
      </c>
      <c r="G174" s="2">
        <v>45785</v>
      </c>
      <c r="H174">
        <v>30</v>
      </c>
    </row>
    <row r="175" spans="1:8">
      <c r="A175" t="s">
        <v>466</v>
      </c>
      <c r="B175" t="s">
        <v>184</v>
      </c>
      <c r="C175" t="s">
        <v>263</v>
      </c>
      <c r="D175">
        <v>50.57</v>
      </c>
      <c r="E175">
        <v>2</v>
      </c>
      <c r="F175">
        <v>20</v>
      </c>
      <c r="G175" s="2">
        <v>45843</v>
      </c>
      <c r="H175">
        <v>30</v>
      </c>
    </row>
    <row r="176" spans="1:8">
      <c r="A176" t="s">
        <v>467</v>
      </c>
      <c r="B176" t="s">
        <v>186</v>
      </c>
      <c r="C176" t="s">
        <v>272</v>
      </c>
      <c r="D176">
        <v>32.74</v>
      </c>
      <c r="E176">
        <v>27</v>
      </c>
      <c r="F176">
        <v>20</v>
      </c>
      <c r="G176" s="2">
        <v>45711</v>
      </c>
      <c r="H176">
        <v>30</v>
      </c>
    </row>
    <row r="177" spans="1:8">
      <c r="A177" t="s">
        <v>468</v>
      </c>
      <c r="B177" t="s">
        <v>186</v>
      </c>
      <c r="C177" t="s">
        <v>278</v>
      </c>
      <c r="D177">
        <v>24.53</v>
      </c>
      <c r="E177">
        <v>28</v>
      </c>
      <c r="F177">
        <v>10</v>
      </c>
      <c r="G177" s="2">
        <v>45677</v>
      </c>
      <c r="H177">
        <v>90</v>
      </c>
    </row>
    <row r="178" spans="1:8">
      <c r="A178" t="s">
        <v>469</v>
      </c>
      <c r="B178" t="s">
        <v>186</v>
      </c>
      <c r="C178" t="s">
        <v>280</v>
      </c>
      <c r="D178">
        <v>32.45</v>
      </c>
      <c r="E178">
        <v>27</v>
      </c>
      <c r="F178">
        <v>50</v>
      </c>
      <c r="G178" s="2">
        <v>45758</v>
      </c>
      <c r="H178">
        <v>60</v>
      </c>
    </row>
    <row r="179" spans="1:8">
      <c r="A179" t="s">
        <v>470</v>
      </c>
      <c r="B179" t="s">
        <v>188</v>
      </c>
      <c r="C179" t="s">
        <v>236</v>
      </c>
      <c r="D179">
        <v>51.04</v>
      </c>
      <c r="E179">
        <v>13</v>
      </c>
      <c r="F179">
        <v>10</v>
      </c>
      <c r="G179" s="2">
        <v>45677</v>
      </c>
      <c r="H179">
        <v>30</v>
      </c>
    </row>
    <row r="180" spans="1:8">
      <c r="A180" t="s">
        <v>471</v>
      </c>
      <c r="B180" t="s">
        <v>188</v>
      </c>
      <c r="C180" t="s">
        <v>274</v>
      </c>
      <c r="D180">
        <v>59.41</v>
      </c>
      <c r="E180">
        <v>18</v>
      </c>
      <c r="F180">
        <v>100</v>
      </c>
      <c r="G180" s="2">
        <v>45886</v>
      </c>
      <c r="H180">
        <v>60</v>
      </c>
    </row>
    <row r="181" spans="1:8">
      <c r="A181" t="s">
        <v>472</v>
      </c>
      <c r="B181" t="s">
        <v>188</v>
      </c>
      <c r="C181" t="s">
        <v>282</v>
      </c>
      <c r="D181">
        <v>58.86</v>
      </c>
      <c r="E181">
        <v>5</v>
      </c>
      <c r="F181">
        <v>100</v>
      </c>
      <c r="G181" s="2">
        <v>45911</v>
      </c>
      <c r="H181">
        <v>60</v>
      </c>
    </row>
    <row r="182" spans="1:8">
      <c r="A182" t="s">
        <v>473</v>
      </c>
      <c r="B182" t="s">
        <v>190</v>
      </c>
      <c r="C182" t="s">
        <v>268</v>
      </c>
      <c r="D182">
        <v>34.92</v>
      </c>
      <c r="E182">
        <v>3</v>
      </c>
      <c r="F182">
        <v>10</v>
      </c>
      <c r="G182" s="2">
        <v>45908</v>
      </c>
      <c r="H182">
        <v>90</v>
      </c>
    </row>
    <row r="183" spans="1:8">
      <c r="A183" t="s">
        <v>474</v>
      </c>
      <c r="B183" t="s">
        <v>190</v>
      </c>
      <c r="C183" t="s">
        <v>236</v>
      </c>
      <c r="D183">
        <v>35.28</v>
      </c>
      <c r="E183">
        <v>2</v>
      </c>
      <c r="F183">
        <v>10</v>
      </c>
      <c r="G183" s="2">
        <v>45775</v>
      </c>
      <c r="H183">
        <v>30</v>
      </c>
    </row>
    <row r="184" spans="1:8">
      <c r="A184" t="s">
        <v>475</v>
      </c>
      <c r="B184" t="s">
        <v>190</v>
      </c>
      <c r="C184" t="s">
        <v>242</v>
      </c>
      <c r="D184">
        <v>28.45</v>
      </c>
      <c r="E184">
        <v>6</v>
      </c>
      <c r="F184">
        <v>50</v>
      </c>
      <c r="G184" s="2">
        <v>45855</v>
      </c>
      <c r="H184">
        <v>90</v>
      </c>
    </row>
    <row r="185" spans="1:8">
      <c r="A185" t="s">
        <v>476</v>
      </c>
      <c r="B185" t="s">
        <v>192</v>
      </c>
      <c r="C185" t="s">
        <v>272</v>
      </c>
      <c r="D185">
        <v>52.09</v>
      </c>
      <c r="E185">
        <v>21</v>
      </c>
      <c r="F185">
        <v>10</v>
      </c>
      <c r="G185" s="2">
        <v>45692</v>
      </c>
      <c r="H185">
        <v>60</v>
      </c>
    </row>
    <row r="186" spans="1:8">
      <c r="A186" t="s">
        <v>477</v>
      </c>
      <c r="B186" t="s">
        <v>192</v>
      </c>
      <c r="C186" t="s">
        <v>270</v>
      </c>
      <c r="D186">
        <v>50.62</v>
      </c>
      <c r="E186">
        <v>6</v>
      </c>
      <c r="F186">
        <v>100</v>
      </c>
      <c r="G186" s="2">
        <v>45706</v>
      </c>
      <c r="H186">
        <v>30</v>
      </c>
    </row>
    <row r="187" spans="1:8">
      <c r="A187" t="s">
        <v>478</v>
      </c>
      <c r="B187" t="s">
        <v>192</v>
      </c>
      <c r="C187" t="s">
        <v>286</v>
      </c>
      <c r="D187">
        <v>55.29</v>
      </c>
      <c r="E187">
        <v>2</v>
      </c>
      <c r="F187">
        <v>10</v>
      </c>
      <c r="G187" s="2">
        <v>45727</v>
      </c>
      <c r="H187">
        <v>60</v>
      </c>
    </row>
    <row r="188" spans="1:8">
      <c r="A188" t="s">
        <v>479</v>
      </c>
      <c r="B188" t="s">
        <v>194</v>
      </c>
      <c r="C188" t="s">
        <v>255</v>
      </c>
      <c r="D188">
        <v>10.4</v>
      </c>
      <c r="E188">
        <v>5</v>
      </c>
      <c r="F188">
        <v>50</v>
      </c>
      <c r="G188" s="2">
        <v>45877</v>
      </c>
      <c r="H188">
        <v>60</v>
      </c>
    </row>
    <row r="189" spans="1:8">
      <c r="A189" t="s">
        <v>480</v>
      </c>
      <c r="B189" t="s">
        <v>194</v>
      </c>
      <c r="C189" t="s">
        <v>280</v>
      </c>
      <c r="D189">
        <v>11.25</v>
      </c>
      <c r="E189">
        <v>5</v>
      </c>
      <c r="F189">
        <v>100</v>
      </c>
      <c r="G189" s="2">
        <v>45839</v>
      </c>
      <c r="H189">
        <v>90</v>
      </c>
    </row>
    <row r="190" spans="1:8">
      <c r="A190" t="s">
        <v>481</v>
      </c>
      <c r="B190" t="s">
        <v>194</v>
      </c>
      <c r="C190" t="s">
        <v>242</v>
      </c>
      <c r="D190">
        <v>12.14</v>
      </c>
      <c r="E190">
        <v>7</v>
      </c>
      <c r="F190">
        <v>100</v>
      </c>
      <c r="G190" s="2">
        <v>45907</v>
      </c>
      <c r="H190">
        <v>90</v>
      </c>
    </row>
    <row r="191" spans="1:8">
      <c r="A191" t="s">
        <v>482</v>
      </c>
      <c r="B191" t="s">
        <v>196</v>
      </c>
      <c r="C191" t="s">
        <v>247</v>
      </c>
      <c r="D191">
        <v>31.16</v>
      </c>
      <c r="E191">
        <v>6</v>
      </c>
      <c r="F191">
        <v>10</v>
      </c>
      <c r="G191" s="2">
        <v>45739</v>
      </c>
      <c r="H191">
        <v>30</v>
      </c>
    </row>
    <row r="192" spans="1:8">
      <c r="A192" t="s">
        <v>483</v>
      </c>
      <c r="B192" t="s">
        <v>196</v>
      </c>
      <c r="C192" t="s">
        <v>284</v>
      </c>
      <c r="D192">
        <v>32.95</v>
      </c>
      <c r="E192">
        <v>8</v>
      </c>
      <c r="F192">
        <v>50</v>
      </c>
      <c r="G192" s="2">
        <v>45818</v>
      </c>
      <c r="H192">
        <v>60</v>
      </c>
    </row>
    <row r="193" spans="1:8">
      <c r="A193" t="s">
        <v>484</v>
      </c>
      <c r="B193" t="s">
        <v>196</v>
      </c>
      <c r="C193" t="s">
        <v>278</v>
      </c>
      <c r="D193">
        <v>33.68</v>
      </c>
      <c r="E193">
        <v>2</v>
      </c>
      <c r="F193">
        <v>50</v>
      </c>
      <c r="G193" s="2">
        <v>45743</v>
      </c>
      <c r="H193">
        <v>90</v>
      </c>
    </row>
    <row r="194" spans="1:8">
      <c r="A194" t="s">
        <v>485</v>
      </c>
      <c r="B194" t="s">
        <v>198</v>
      </c>
      <c r="C194" t="s">
        <v>251</v>
      </c>
      <c r="D194">
        <v>79.44</v>
      </c>
      <c r="E194">
        <v>25</v>
      </c>
      <c r="F194">
        <v>100</v>
      </c>
      <c r="G194" s="2">
        <v>45782</v>
      </c>
      <c r="H194">
        <v>90</v>
      </c>
    </row>
    <row r="195" spans="1:8">
      <c r="A195" t="s">
        <v>486</v>
      </c>
      <c r="B195" t="s">
        <v>198</v>
      </c>
      <c r="C195" t="s">
        <v>247</v>
      </c>
      <c r="D195">
        <v>71.75</v>
      </c>
      <c r="E195">
        <v>38</v>
      </c>
      <c r="F195">
        <v>100</v>
      </c>
      <c r="G195" s="2">
        <v>45951</v>
      </c>
      <c r="H195">
        <v>90</v>
      </c>
    </row>
    <row r="196" spans="1:8">
      <c r="A196" t="s">
        <v>487</v>
      </c>
      <c r="B196" t="s">
        <v>198</v>
      </c>
      <c r="C196" t="s">
        <v>278</v>
      </c>
      <c r="D196">
        <v>69.58</v>
      </c>
      <c r="E196">
        <v>24</v>
      </c>
      <c r="F196">
        <v>100</v>
      </c>
      <c r="G196" s="2">
        <v>45811</v>
      </c>
      <c r="H196">
        <v>90</v>
      </c>
    </row>
    <row r="197" spans="1:8">
      <c r="A197" t="s">
        <v>488</v>
      </c>
      <c r="B197" t="s">
        <v>200</v>
      </c>
      <c r="C197" t="s">
        <v>259</v>
      </c>
      <c r="D197">
        <v>23.51</v>
      </c>
      <c r="E197">
        <v>6</v>
      </c>
      <c r="F197">
        <v>50</v>
      </c>
      <c r="G197" s="2">
        <v>45701</v>
      </c>
      <c r="H197">
        <v>30</v>
      </c>
    </row>
    <row r="198" spans="1:8">
      <c r="A198" t="s">
        <v>489</v>
      </c>
      <c r="B198" t="s">
        <v>200</v>
      </c>
      <c r="C198" t="s">
        <v>278</v>
      </c>
      <c r="D198">
        <v>26.43</v>
      </c>
      <c r="E198">
        <v>7</v>
      </c>
      <c r="F198">
        <v>50</v>
      </c>
      <c r="G198" s="2">
        <v>45746</v>
      </c>
      <c r="H198">
        <v>90</v>
      </c>
    </row>
    <row r="199" spans="1:8">
      <c r="A199" t="s">
        <v>490</v>
      </c>
      <c r="B199" t="s">
        <v>200</v>
      </c>
      <c r="C199" t="s">
        <v>284</v>
      </c>
      <c r="D199">
        <v>26.32</v>
      </c>
      <c r="E199">
        <v>16</v>
      </c>
      <c r="F199">
        <v>50</v>
      </c>
      <c r="G199" s="2">
        <v>45854</v>
      </c>
      <c r="H199">
        <v>90</v>
      </c>
    </row>
    <row r="200" spans="1:8">
      <c r="A200" t="s">
        <v>491</v>
      </c>
      <c r="B200" t="s">
        <v>202</v>
      </c>
      <c r="C200" t="s">
        <v>272</v>
      </c>
      <c r="D200">
        <v>55.39</v>
      </c>
      <c r="E200">
        <v>13</v>
      </c>
      <c r="F200">
        <v>50</v>
      </c>
      <c r="G200" s="2">
        <v>45771</v>
      </c>
      <c r="H200">
        <v>90</v>
      </c>
    </row>
    <row r="201" spans="1:8">
      <c r="A201" t="s">
        <v>492</v>
      </c>
      <c r="B201" t="s">
        <v>202</v>
      </c>
      <c r="C201" t="s">
        <v>247</v>
      </c>
      <c r="D201">
        <v>73.77</v>
      </c>
      <c r="E201">
        <v>27</v>
      </c>
      <c r="F201">
        <v>10</v>
      </c>
      <c r="G201" s="2">
        <v>45877</v>
      </c>
      <c r="H201">
        <v>30</v>
      </c>
    </row>
    <row r="202" spans="1:8">
      <c r="A202" t="s">
        <v>493</v>
      </c>
      <c r="B202" t="s">
        <v>202</v>
      </c>
      <c r="C202" t="s">
        <v>274</v>
      </c>
      <c r="D202">
        <v>52.41</v>
      </c>
      <c r="E202">
        <v>27</v>
      </c>
      <c r="F202">
        <v>100</v>
      </c>
      <c r="G202" s="2">
        <v>45764</v>
      </c>
      <c r="H202">
        <v>30</v>
      </c>
    </row>
    <row r="203" spans="1:8">
      <c r="A203" t="s">
        <v>494</v>
      </c>
      <c r="B203" t="s">
        <v>204</v>
      </c>
      <c r="C203" t="s">
        <v>278</v>
      </c>
      <c r="D203">
        <v>5.59</v>
      </c>
      <c r="E203">
        <v>10</v>
      </c>
      <c r="F203">
        <v>50</v>
      </c>
      <c r="G203" s="2">
        <v>45785</v>
      </c>
      <c r="H203">
        <v>90</v>
      </c>
    </row>
    <row r="204" spans="1:8">
      <c r="A204" t="s">
        <v>495</v>
      </c>
      <c r="B204" t="s">
        <v>204</v>
      </c>
      <c r="C204" t="s">
        <v>247</v>
      </c>
      <c r="D204">
        <v>6.12</v>
      </c>
      <c r="E204">
        <v>11</v>
      </c>
      <c r="F204">
        <v>20</v>
      </c>
      <c r="G204" s="2">
        <v>45790</v>
      </c>
      <c r="H204">
        <v>90</v>
      </c>
    </row>
    <row r="205" spans="1:8">
      <c r="A205" t="s">
        <v>496</v>
      </c>
      <c r="B205" t="s">
        <v>204</v>
      </c>
      <c r="C205" t="s">
        <v>261</v>
      </c>
      <c r="D205">
        <v>5.09</v>
      </c>
      <c r="E205">
        <v>16</v>
      </c>
      <c r="F205">
        <v>10</v>
      </c>
      <c r="G205" s="2">
        <v>45922</v>
      </c>
      <c r="H205">
        <v>60</v>
      </c>
    </row>
    <row r="206" spans="1:8">
      <c r="A206" t="s">
        <v>497</v>
      </c>
      <c r="B206" t="s">
        <v>206</v>
      </c>
      <c r="C206" t="s">
        <v>236</v>
      </c>
      <c r="D206">
        <v>58.92</v>
      </c>
      <c r="E206">
        <v>7</v>
      </c>
      <c r="F206">
        <v>10</v>
      </c>
      <c r="G206" s="2">
        <v>45732</v>
      </c>
      <c r="H206">
        <v>30</v>
      </c>
    </row>
    <row r="207" spans="1:8">
      <c r="A207" t="s">
        <v>498</v>
      </c>
      <c r="B207" t="s">
        <v>206</v>
      </c>
      <c r="C207" t="s">
        <v>259</v>
      </c>
      <c r="D207">
        <v>53.51</v>
      </c>
      <c r="E207">
        <v>7</v>
      </c>
      <c r="F207">
        <v>100</v>
      </c>
      <c r="G207" s="2">
        <v>45807</v>
      </c>
      <c r="H207">
        <v>30</v>
      </c>
    </row>
    <row r="208" spans="1:8">
      <c r="A208" t="s">
        <v>499</v>
      </c>
      <c r="B208" t="s">
        <v>206</v>
      </c>
      <c r="C208" t="s">
        <v>280</v>
      </c>
      <c r="D208">
        <v>61.46</v>
      </c>
      <c r="E208">
        <v>12</v>
      </c>
      <c r="F208">
        <v>50</v>
      </c>
      <c r="G208" s="2">
        <v>45946</v>
      </c>
      <c r="H208">
        <v>30</v>
      </c>
    </row>
    <row r="209" spans="1:8">
      <c r="A209" t="s">
        <v>500</v>
      </c>
      <c r="B209" t="s">
        <v>208</v>
      </c>
      <c r="C209" t="s">
        <v>255</v>
      </c>
      <c r="D209">
        <v>25.06</v>
      </c>
      <c r="E209">
        <v>13</v>
      </c>
      <c r="F209">
        <v>50</v>
      </c>
      <c r="G209" s="2">
        <v>45678</v>
      </c>
      <c r="H209">
        <v>90</v>
      </c>
    </row>
    <row r="210" spans="1:8">
      <c r="A210" t="s">
        <v>501</v>
      </c>
      <c r="B210" t="s">
        <v>208</v>
      </c>
      <c r="C210" t="s">
        <v>274</v>
      </c>
      <c r="D210">
        <v>29.46</v>
      </c>
      <c r="E210">
        <v>21</v>
      </c>
      <c r="F210">
        <v>100</v>
      </c>
      <c r="G210" s="2">
        <v>45696</v>
      </c>
      <c r="H210">
        <v>30</v>
      </c>
    </row>
    <row r="211" spans="1:8">
      <c r="A211" t="s">
        <v>502</v>
      </c>
      <c r="B211" t="s">
        <v>208</v>
      </c>
      <c r="C211" t="s">
        <v>268</v>
      </c>
      <c r="D211">
        <v>29.71</v>
      </c>
      <c r="E211">
        <v>11</v>
      </c>
      <c r="F211">
        <v>10</v>
      </c>
      <c r="G211" s="2">
        <v>45864</v>
      </c>
      <c r="H211">
        <v>60</v>
      </c>
    </row>
    <row r="212" spans="1:8">
      <c r="A212" t="s">
        <v>503</v>
      </c>
      <c r="B212" t="s">
        <v>210</v>
      </c>
      <c r="C212" t="s">
        <v>280</v>
      </c>
      <c r="D212">
        <v>79.63</v>
      </c>
      <c r="E212">
        <v>22</v>
      </c>
      <c r="F212">
        <v>20</v>
      </c>
      <c r="G212" s="2">
        <v>45932</v>
      </c>
      <c r="H212">
        <v>30</v>
      </c>
    </row>
    <row r="213" spans="1:8">
      <c r="A213" t="s">
        <v>504</v>
      </c>
      <c r="B213" t="s">
        <v>210</v>
      </c>
      <c r="C213" t="s">
        <v>270</v>
      </c>
      <c r="D213">
        <v>91.87</v>
      </c>
      <c r="E213">
        <v>17</v>
      </c>
      <c r="F213">
        <v>10</v>
      </c>
      <c r="G213" s="2">
        <v>45863</v>
      </c>
      <c r="H213">
        <v>90</v>
      </c>
    </row>
    <row r="214" spans="1:8">
      <c r="A214" t="s">
        <v>505</v>
      </c>
      <c r="B214" t="s">
        <v>210</v>
      </c>
      <c r="C214" t="s">
        <v>286</v>
      </c>
      <c r="D214">
        <v>83.66</v>
      </c>
      <c r="E214">
        <v>23</v>
      </c>
      <c r="F214">
        <v>50</v>
      </c>
      <c r="G214" s="2">
        <v>45777</v>
      </c>
      <c r="H214">
        <v>60</v>
      </c>
    </row>
    <row r="215" spans="1:8">
      <c r="A215" t="s">
        <v>506</v>
      </c>
      <c r="B215" t="s">
        <v>212</v>
      </c>
      <c r="C215" t="s">
        <v>266</v>
      </c>
      <c r="D215">
        <v>52.94</v>
      </c>
      <c r="E215">
        <v>39</v>
      </c>
      <c r="F215">
        <v>20</v>
      </c>
      <c r="G215" s="2">
        <v>45782</v>
      </c>
      <c r="H215">
        <v>60</v>
      </c>
    </row>
    <row r="216" spans="1:8">
      <c r="A216" t="s">
        <v>507</v>
      </c>
      <c r="B216" t="s">
        <v>212</v>
      </c>
      <c r="C216" t="s">
        <v>242</v>
      </c>
      <c r="D216">
        <v>43.99</v>
      </c>
      <c r="E216">
        <v>34</v>
      </c>
      <c r="F216">
        <v>100</v>
      </c>
      <c r="G216" s="2">
        <v>45815</v>
      </c>
      <c r="H216">
        <v>90</v>
      </c>
    </row>
    <row r="217" spans="1:8">
      <c r="A217" t="s">
        <v>508</v>
      </c>
      <c r="B217" t="s">
        <v>212</v>
      </c>
      <c r="C217" t="s">
        <v>259</v>
      </c>
      <c r="D217">
        <v>42.77</v>
      </c>
      <c r="E217">
        <v>28</v>
      </c>
      <c r="F217">
        <v>20</v>
      </c>
      <c r="G217" s="2">
        <v>45707</v>
      </c>
      <c r="H217">
        <v>30</v>
      </c>
    </row>
    <row r="218" spans="1:8">
      <c r="A218" t="s">
        <v>509</v>
      </c>
      <c r="B218" t="s">
        <v>214</v>
      </c>
      <c r="C218" t="s">
        <v>257</v>
      </c>
      <c r="D218">
        <v>51.01</v>
      </c>
      <c r="E218">
        <v>28</v>
      </c>
      <c r="F218">
        <v>10</v>
      </c>
      <c r="G218" s="2">
        <v>45804</v>
      </c>
      <c r="H218">
        <v>60</v>
      </c>
    </row>
    <row r="219" spans="1:8">
      <c r="A219" t="s">
        <v>510</v>
      </c>
      <c r="B219" t="s">
        <v>214</v>
      </c>
      <c r="C219" t="s">
        <v>259</v>
      </c>
      <c r="D219">
        <v>48.05</v>
      </c>
      <c r="E219">
        <v>19</v>
      </c>
      <c r="F219">
        <v>20</v>
      </c>
      <c r="G219" s="2">
        <v>45889</v>
      </c>
      <c r="H219">
        <v>30</v>
      </c>
    </row>
    <row r="220" spans="1:8">
      <c r="A220" t="s">
        <v>511</v>
      </c>
      <c r="B220" t="s">
        <v>214</v>
      </c>
      <c r="C220" t="s">
        <v>266</v>
      </c>
      <c r="D220">
        <v>57.15</v>
      </c>
      <c r="E220">
        <v>29</v>
      </c>
      <c r="F220">
        <v>100</v>
      </c>
      <c r="G220" s="2">
        <v>45685</v>
      </c>
      <c r="H220">
        <v>60</v>
      </c>
    </row>
    <row r="221" spans="1:8">
      <c r="A221" t="s">
        <v>512</v>
      </c>
      <c r="B221" t="s">
        <v>216</v>
      </c>
      <c r="C221" t="s">
        <v>251</v>
      </c>
      <c r="D221">
        <v>94.49</v>
      </c>
      <c r="E221">
        <v>17</v>
      </c>
      <c r="F221">
        <v>20</v>
      </c>
      <c r="G221" s="2">
        <v>45940</v>
      </c>
      <c r="H221">
        <v>90</v>
      </c>
    </row>
    <row r="222" spans="1:8">
      <c r="A222" t="s">
        <v>513</v>
      </c>
      <c r="B222" t="s">
        <v>216</v>
      </c>
      <c r="C222" t="s">
        <v>282</v>
      </c>
      <c r="D222">
        <v>87.81</v>
      </c>
      <c r="E222">
        <v>6</v>
      </c>
      <c r="F222">
        <v>50</v>
      </c>
      <c r="G222" s="2">
        <v>45894</v>
      </c>
      <c r="H222">
        <v>30</v>
      </c>
    </row>
    <row r="223" spans="1:8">
      <c r="A223" t="s">
        <v>514</v>
      </c>
      <c r="B223" t="s">
        <v>216</v>
      </c>
      <c r="C223" t="s">
        <v>255</v>
      </c>
      <c r="D223">
        <v>95.99</v>
      </c>
      <c r="E223">
        <v>13</v>
      </c>
      <c r="F223">
        <v>20</v>
      </c>
      <c r="G223" s="2">
        <v>45706</v>
      </c>
      <c r="H223">
        <v>60</v>
      </c>
    </row>
    <row r="224" spans="1:8">
      <c r="A224" t="s">
        <v>515</v>
      </c>
      <c r="B224" t="s">
        <v>218</v>
      </c>
      <c r="C224" t="s">
        <v>242</v>
      </c>
      <c r="D224">
        <v>50.41</v>
      </c>
      <c r="E224">
        <v>7</v>
      </c>
      <c r="F224">
        <v>100</v>
      </c>
      <c r="G224" s="2">
        <v>45924</v>
      </c>
      <c r="H224">
        <v>60</v>
      </c>
    </row>
    <row r="225" spans="1:8">
      <c r="A225" t="s">
        <v>516</v>
      </c>
      <c r="B225" t="s">
        <v>218</v>
      </c>
      <c r="C225" t="s">
        <v>247</v>
      </c>
      <c r="D225">
        <v>52.2</v>
      </c>
      <c r="E225">
        <v>10</v>
      </c>
      <c r="F225">
        <v>10</v>
      </c>
      <c r="G225" s="2">
        <v>45784</v>
      </c>
      <c r="H225">
        <v>60</v>
      </c>
    </row>
    <row r="226" spans="1:8">
      <c r="A226" t="s">
        <v>517</v>
      </c>
      <c r="B226" t="s">
        <v>218</v>
      </c>
      <c r="C226" t="s">
        <v>251</v>
      </c>
      <c r="D226">
        <v>39.07</v>
      </c>
      <c r="E226">
        <v>17</v>
      </c>
      <c r="F226">
        <v>100</v>
      </c>
      <c r="G226" s="2">
        <v>45766</v>
      </c>
      <c r="H226">
        <v>30</v>
      </c>
    </row>
    <row r="227" spans="1:8">
      <c r="A227" t="s">
        <v>518</v>
      </c>
      <c r="B227" t="s">
        <v>220</v>
      </c>
      <c r="C227" t="s">
        <v>282</v>
      </c>
      <c r="D227">
        <v>79.27</v>
      </c>
      <c r="E227">
        <v>17</v>
      </c>
      <c r="F227">
        <v>50</v>
      </c>
      <c r="G227" s="2">
        <v>45739</v>
      </c>
      <c r="H227">
        <v>30</v>
      </c>
    </row>
    <row r="228" spans="1:8">
      <c r="A228" t="s">
        <v>519</v>
      </c>
      <c r="B228" t="s">
        <v>220</v>
      </c>
      <c r="C228" t="s">
        <v>247</v>
      </c>
      <c r="D228">
        <v>71.5</v>
      </c>
      <c r="E228">
        <v>28</v>
      </c>
      <c r="F228">
        <v>10</v>
      </c>
      <c r="G228" s="2">
        <v>45900</v>
      </c>
      <c r="H228">
        <v>90</v>
      </c>
    </row>
    <row r="229" spans="1:8">
      <c r="A229" t="s">
        <v>520</v>
      </c>
      <c r="B229" t="s">
        <v>220</v>
      </c>
      <c r="C229" t="s">
        <v>257</v>
      </c>
      <c r="D229">
        <v>90.09</v>
      </c>
      <c r="E229">
        <v>18</v>
      </c>
      <c r="F229">
        <v>20</v>
      </c>
      <c r="G229" s="2">
        <v>45942</v>
      </c>
      <c r="H229">
        <v>30</v>
      </c>
    </row>
    <row r="230" spans="1:8">
      <c r="A230" t="s">
        <v>521</v>
      </c>
      <c r="B230" t="s">
        <v>222</v>
      </c>
      <c r="C230" t="s">
        <v>255</v>
      </c>
      <c r="D230">
        <v>76.26</v>
      </c>
      <c r="E230">
        <v>2</v>
      </c>
      <c r="F230">
        <v>10</v>
      </c>
      <c r="G230" s="2">
        <v>45925</v>
      </c>
      <c r="H230">
        <v>90</v>
      </c>
    </row>
    <row r="231" spans="1:8">
      <c r="A231" t="s">
        <v>522</v>
      </c>
      <c r="B231" t="s">
        <v>222</v>
      </c>
      <c r="C231" t="s">
        <v>270</v>
      </c>
      <c r="D231">
        <v>88.6</v>
      </c>
      <c r="E231">
        <v>7</v>
      </c>
      <c r="F231">
        <v>50</v>
      </c>
      <c r="G231" s="2">
        <v>45870</v>
      </c>
      <c r="H231">
        <v>60</v>
      </c>
    </row>
    <row r="232" spans="1:8">
      <c r="A232" t="s">
        <v>523</v>
      </c>
      <c r="B232" t="s">
        <v>222</v>
      </c>
      <c r="C232" t="s">
        <v>276</v>
      </c>
      <c r="D232">
        <v>92.14</v>
      </c>
      <c r="E232">
        <v>13</v>
      </c>
      <c r="F232">
        <v>10</v>
      </c>
      <c r="G232" s="2">
        <v>45951</v>
      </c>
      <c r="H232">
        <v>30</v>
      </c>
    </row>
    <row r="233" spans="1:8">
      <c r="A233" t="s">
        <v>524</v>
      </c>
      <c r="B233" t="s">
        <v>224</v>
      </c>
      <c r="C233" t="s">
        <v>278</v>
      </c>
      <c r="D233">
        <v>107.13</v>
      </c>
      <c r="E233">
        <v>23</v>
      </c>
      <c r="F233">
        <v>100</v>
      </c>
      <c r="G233" s="2">
        <v>45775</v>
      </c>
      <c r="H233">
        <v>30</v>
      </c>
    </row>
    <row r="234" spans="1:8">
      <c r="A234" t="s">
        <v>525</v>
      </c>
      <c r="B234" t="s">
        <v>224</v>
      </c>
      <c r="C234" t="s">
        <v>286</v>
      </c>
      <c r="D234">
        <v>94.9</v>
      </c>
      <c r="E234">
        <v>21</v>
      </c>
      <c r="F234">
        <v>50</v>
      </c>
      <c r="G234" s="2">
        <v>45853</v>
      </c>
      <c r="H234">
        <v>30</v>
      </c>
    </row>
    <row r="235" spans="1:8">
      <c r="A235" t="s">
        <v>526</v>
      </c>
      <c r="B235" t="s">
        <v>224</v>
      </c>
      <c r="C235" t="s">
        <v>270</v>
      </c>
      <c r="D235">
        <v>107.14</v>
      </c>
      <c r="E235">
        <v>28</v>
      </c>
      <c r="F235">
        <v>10</v>
      </c>
      <c r="G235" s="2">
        <v>45704</v>
      </c>
      <c r="H235">
        <v>90</v>
      </c>
    </row>
    <row r="236" spans="1:8">
      <c r="A236" t="s">
        <v>527</v>
      </c>
      <c r="B236" t="s">
        <v>226</v>
      </c>
      <c r="C236" t="s">
        <v>263</v>
      </c>
      <c r="D236">
        <v>45.95</v>
      </c>
      <c r="E236">
        <v>9</v>
      </c>
      <c r="F236">
        <v>100</v>
      </c>
      <c r="G236" s="2">
        <v>45724</v>
      </c>
      <c r="H236">
        <v>90</v>
      </c>
    </row>
    <row r="237" spans="1:8">
      <c r="A237" t="s">
        <v>528</v>
      </c>
      <c r="B237" t="s">
        <v>226</v>
      </c>
      <c r="C237" t="s">
        <v>284</v>
      </c>
      <c r="D237">
        <v>37.45</v>
      </c>
      <c r="E237">
        <v>4</v>
      </c>
      <c r="F237">
        <v>20</v>
      </c>
      <c r="G237" s="2">
        <v>45812</v>
      </c>
      <c r="H237">
        <v>60</v>
      </c>
    </row>
    <row r="238" spans="1:8">
      <c r="A238" t="s">
        <v>529</v>
      </c>
      <c r="B238" t="s">
        <v>226</v>
      </c>
      <c r="C238" t="s">
        <v>272</v>
      </c>
      <c r="D238">
        <v>35.84</v>
      </c>
      <c r="E238">
        <v>4</v>
      </c>
      <c r="F238">
        <v>20</v>
      </c>
      <c r="G238" s="2">
        <v>45919</v>
      </c>
      <c r="H238">
        <v>90</v>
      </c>
    </row>
    <row r="239" spans="1:8">
      <c r="A239" t="s">
        <v>530</v>
      </c>
      <c r="B239" t="s">
        <v>228</v>
      </c>
      <c r="C239" t="s">
        <v>263</v>
      </c>
      <c r="D239">
        <v>65.89</v>
      </c>
      <c r="E239">
        <v>26</v>
      </c>
      <c r="F239">
        <v>10</v>
      </c>
      <c r="G239" s="2">
        <v>45766</v>
      </c>
      <c r="H239">
        <v>60</v>
      </c>
    </row>
    <row r="240" spans="1:8">
      <c r="A240" t="s">
        <v>531</v>
      </c>
      <c r="B240" t="s">
        <v>228</v>
      </c>
      <c r="C240" t="s">
        <v>261</v>
      </c>
      <c r="D240">
        <v>76.38</v>
      </c>
      <c r="E240">
        <v>28</v>
      </c>
      <c r="F240">
        <v>20</v>
      </c>
      <c r="G240" s="2">
        <v>45699</v>
      </c>
      <c r="H240">
        <v>60</v>
      </c>
    </row>
    <row r="241" spans="1:8">
      <c r="A241" t="s">
        <v>532</v>
      </c>
      <c r="B241" t="s">
        <v>228</v>
      </c>
      <c r="C241" t="s">
        <v>272</v>
      </c>
      <c r="D241">
        <v>68.79</v>
      </c>
      <c r="E241">
        <v>22</v>
      </c>
      <c r="F241">
        <v>50</v>
      </c>
      <c r="G241" s="2">
        <v>45907</v>
      </c>
      <c r="H241">
        <v>30</v>
      </c>
    </row>
  </sheetData>
  <autoFilter xmlns:etc="http://www.wps.cn/officeDocument/2017/etCustomData" ref="A1:H24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1"/>
  <sheetViews>
    <sheetView topLeftCell="D1" workbookViewId="0">
      <pane ySplit="1" topLeftCell="A2" activePane="bottomLeft" state="frozen"/>
      <selection/>
      <selection pane="bottomLeft" activeCell="L1" sqref="L1"/>
    </sheetView>
  </sheetViews>
  <sheetFormatPr defaultColWidth="9" defaultRowHeight="14.5"/>
  <cols>
    <col min="1" max="2" width="12" customWidth="1"/>
    <col min="3" max="4" width="21" customWidth="1"/>
    <col min="5" max="5" width="20" customWidth="1"/>
    <col min="6" max="7" width="12" customWidth="1"/>
    <col min="8" max="8" width="18" customWidth="1"/>
    <col min="10" max="10" width="11.3636363636364" style="8"/>
    <col min="11" max="11" width="9" style="9"/>
    <col min="13" max="13" width="9" style="10"/>
  </cols>
  <sheetData>
    <row r="1" ht="30" customHeight="1" spans="1:13">
      <c r="A1" s="1" t="s">
        <v>31</v>
      </c>
      <c r="B1" s="1" t="s">
        <v>25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233</v>
      </c>
      <c r="I1" t="s">
        <v>538</v>
      </c>
      <c r="J1" s="8" t="s">
        <v>539</v>
      </c>
      <c r="K1" s="9" t="s">
        <v>540</v>
      </c>
      <c r="L1" t="s">
        <v>541</v>
      </c>
      <c r="M1" s="10" t="s">
        <v>542</v>
      </c>
    </row>
    <row r="2" spans="1:13">
      <c r="A2" t="s">
        <v>543</v>
      </c>
      <c r="B2" t="s">
        <v>268</v>
      </c>
      <c r="C2" s="2">
        <v>45689</v>
      </c>
      <c r="D2" s="2">
        <v>45722</v>
      </c>
      <c r="E2" t="s">
        <v>544</v>
      </c>
      <c r="F2" t="s">
        <v>545</v>
      </c>
      <c r="G2" t="s">
        <v>546</v>
      </c>
      <c r="H2">
        <v>45</v>
      </c>
      <c r="I2" t="str">
        <f>IF(TRIM(E2)="Overdue","Urgent Follow-Up",IF(TRIM(E2)="Received","Complete",IF(OR(TRIM(E2)="Open",TRIM(E2)="Partially Received"),"Monitor","Check Status")))</f>
        <v>Monitor</v>
      </c>
      <c r="J2" s="8" t="str">
        <f>IF(_xlfn.XLOOKUP(A2,POTracking!$A:$A,POTracking!$D:$D,"")=0,"",_xlfn.XLOOKUP(A2,POTracking!$A:$A,POTracking!$D:$D,""))</f>
        <v/>
      </c>
      <c r="K2" s="9" t="str">
        <f>IF(J2="","",J2-D2)</f>
        <v/>
      </c>
      <c r="L2" t="str">
        <f>IF(J2="","Not Yet Received",IF(K2&lt;=0,"On Time/Early","Late"))</f>
        <v>Not Yet Received</v>
      </c>
      <c r="M2" s="10" t="str">
        <f>IF(J2="","",J2-C2)</f>
        <v/>
      </c>
    </row>
    <row r="3" spans="1:13">
      <c r="A3" t="s">
        <v>547</v>
      </c>
      <c r="B3" t="s">
        <v>270</v>
      </c>
      <c r="C3" s="2">
        <v>45835</v>
      </c>
      <c r="D3" s="2">
        <v>45857</v>
      </c>
      <c r="E3" t="s">
        <v>548</v>
      </c>
      <c r="F3" t="s">
        <v>545</v>
      </c>
      <c r="G3" t="s">
        <v>549</v>
      </c>
      <c r="H3">
        <v>30</v>
      </c>
      <c r="I3" t="str">
        <f t="shared" ref="I3:I66" si="0">IF(TRIM(E3)="Overdue","Urgent Follow-Up",IF(TRIM(E3)="Received","Complete",IF(OR(TRIM(E3)="Open",TRIM(E3)="Partially Received"),"Monitor","Check Status")))</f>
        <v>Complete</v>
      </c>
      <c r="J3" s="8">
        <f>IF(_xlfn.XLOOKUP(A3,POTracking!$A:$A,POTracking!$D:$D,"")=0,"",_xlfn.XLOOKUP(A3,POTracking!$A:$A,POTracking!$D:$D,""))</f>
        <v>45859</v>
      </c>
      <c r="K3" s="9">
        <f t="shared" ref="K3:K66" si="1">IF(J3="","",J3-D3)</f>
        <v>2</v>
      </c>
      <c r="L3" t="str">
        <f t="shared" ref="L3:L66" si="2">IF(J3="","Not Yet Received",IF(K3&lt;=0,"On Time/Early","Late"))</f>
        <v>Late</v>
      </c>
      <c r="M3" s="10">
        <f t="shared" ref="M3:M66" si="3">IF(J3="","",J3-C3)</f>
        <v>24</v>
      </c>
    </row>
    <row r="4" spans="1:13">
      <c r="A4" t="s">
        <v>550</v>
      </c>
      <c r="B4" t="s">
        <v>263</v>
      </c>
      <c r="C4" s="2">
        <v>45765</v>
      </c>
      <c r="D4" s="2">
        <v>45781</v>
      </c>
      <c r="E4" t="s">
        <v>551</v>
      </c>
      <c r="F4" t="s">
        <v>545</v>
      </c>
      <c r="G4" t="s">
        <v>552</v>
      </c>
      <c r="H4">
        <v>30</v>
      </c>
      <c r="I4" t="str">
        <f t="shared" si="0"/>
        <v>Urgent Follow-Up</v>
      </c>
      <c r="J4" s="8" t="str">
        <f>IF(_xlfn.XLOOKUP(A4,POTracking!$A:$A,POTracking!$D:$D,"")=0,"",_xlfn.XLOOKUP(A4,POTracking!$A:$A,POTracking!$D:$D,""))</f>
        <v/>
      </c>
      <c r="K4" s="9" t="str">
        <f t="shared" si="1"/>
        <v/>
      </c>
      <c r="L4" t="str">
        <f t="shared" si="2"/>
        <v>Not Yet Received</v>
      </c>
      <c r="M4" s="10" t="str">
        <f t="shared" si="3"/>
        <v/>
      </c>
    </row>
    <row r="5" spans="1:13">
      <c r="A5" t="s">
        <v>553</v>
      </c>
      <c r="B5" t="s">
        <v>266</v>
      </c>
      <c r="C5" s="2">
        <v>45808</v>
      </c>
      <c r="D5" s="2">
        <v>45837</v>
      </c>
      <c r="E5" t="s">
        <v>548</v>
      </c>
      <c r="F5" t="s">
        <v>545</v>
      </c>
      <c r="G5" t="s">
        <v>549</v>
      </c>
      <c r="H5">
        <v>60</v>
      </c>
      <c r="I5" t="str">
        <f t="shared" si="0"/>
        <v>Complete</v>
      </c>
      <c r="J5" s="8">
        <f>IF(_xlfn.XLOOKUP(A5,POTracking!$A:$A,POTracking!$D:$D,"")=0,"",_xlfn.XLOOKUP(A5,POTracking!$A:$A,POTracking!$D:$D,""))</f>
        <v>45840</v>
      </c>
      <c r="K5" s="9">
        <f t="shared" si="1"/>
        <v>3</v>
      </c>
      <c r="L5" t="str">
        <f t="shared" si="2"/>
        <v>Late</v>
      </c>
      <c r="M5" s="10">
        <f t="shared" si="3"/>
        <v>32</v>
      </c>
    </row>
    <row r="6" spans="1:13">
      <c r="A6" t="s">
        <v>554</v>
      </c>
      <c r="B6" t="s">
        <v>268</v>
      </c>
      <c r="C6" s="2">
        <v>45747</v>
      </c>
      <c r="D6" s="2">
        <v>45777</v>
      </c>
      <c r="E6" t="s">
        <v>548</v>
      </c>
      <c r="F6" t="s">
        <v>545</v>
      </c>
      <c r="G6" t="s">
        <v>549</v>
      </c>
      <c r="H6">
        <v>45</v>
      </c>
      <c r="I6" t="str">
        <f t="shared" si="0"/>
        <v>Complete</v>
      </c>
      <c r="J6" s="8">
        <f>IF(_xlfn.XLOOKUP(A6,POTracking!$A:$A,POTracking!$D:$D,"")=0,"",_xlfn.XLOOKUP(A6,POTracking!$A:$A,POTracking!$D:$D,""))</f>
        <v>45778</v>
      </c>
      <c r="K6" s="9">
        <f t="shared" si="1"/>
        <v>1</v>
      </c>
      <c r="L6" t="str">
        <f t="shared" si="2"/>
        <v>Late</v>
      </c>
      <c r="M6" s="10">
        <f t="shared" si="3"/>
        <v>31</v>
      </c>
    </row>
    <row r="7" spans="1:13">
      <c r="A7" t="s">
        <v>555</v>
      </c>
      <c r="B7" t="s">
        <v>278</v>
      </c>
      <c r="C7" s="2">
        <v>45883</v>
      </c>
      <c r="D7" s="2">
        <v>45890</v>
      </c>
      <c r="E7" t="s">
        <v>548</v>
      </c>
      <c r="F7" t="s">
        <v>545</v>
      </c>
      <c r="G7" t="s">
        <v>556</v>
      </c>
      <c r="H7">
        <v>45</v>
      </c>
      <c r="I7" t="str">
        <f t="shared" si="0"/>
        <v>Complete</v>
      </c>
      <c r="J7" s="8">
        <f>IF(_xlfn.XLOOKUP(A7,POTracking!$A:$A,POTracking!$D:$D,"")=0,"",_xlfn.XLOOKUP(A7,POTracking!$A:$A,POTracking!$D:$D,""))</f>
        <v>45888</v>
      </c>
      <c r="K7" s="9">
        <f t="shared" si="1"/>
        <v>-2</v>
      </c>
      <c r="L7" t="str">
        <f t="shared" si="2"/>
        <v>On Time/Early</v>
      </c>
      <c r="M7" s="10">
        <f t="shared" si="3"/>
        <v>5</v>
      </c>
    </row>
    <row r="8" spans="1:13">
      <c r="A8" t="s">
        <v>557</v>
      </c>
      <c r="B8" t="s">
        <v>282</v>
      </c>
      <c r="C8" s="2">
        <v>45838</v>
      </c>
      <c r="D8" s="2">
        <v>45851</v>
      </c>
      <c r="E8" t="s">
        <v>558</v>
      </c>
      <c r="F8" t="s">
        <v>545</v>
      </c>
      <c r="G8" t="s">
        <v>546</v>
      </c>
      <c r="H8">
        <v>30</v>
      </c>
      <c r="I8" t="str">
        <f t="shared" si="0"/>
        <v>Monitor</v>
      </c>
      <c r="J8" s="8">
        <f>IF(_xlfn.XLOOKUP(A8,POTracking!$A:$A,POTracking!$D:$D,"")=0,"",_xlfn.XLOOKUP(A8,POTracking!$A:$A,POTracking!$D:$D,""))</f>
        <v>45856</v>
      </c>
      <c r="K8" s="9">
        <f t="shared" si="1"/>
        <v>5</v>
      </c>
      <c r="L8" t="str">
        <f t="shared" si="2"/>
        <v>Late</v>
      </c>
      <c r="M8" s="10">
        <f t="shared" si="3"/>
        <v>18</v>
      </c>
    </row>
    <row r="9" spans="1:13">
      <c r="A9" t="s">
        <v>559</v>
      </c>
      <c r="B9" t="s">
        <v>236</v>
      </c>
      <c r="C9" s="2">
        <v>45964</v>
      </c>
      <c r="D9" s="2">
        <v>45966</v>
      </c>
      <c r="E9" t="s">
        <v>558</v>
      </c>
      <c r="F9" t="s">
        <v>545</v>
      </c>
      <c r="G9" t="s">
        <v>556</v>
      </c>
      <c r="H9">
        <v>30</v>
      </c>
      <c r="I9" t="str">
        <f t="shared" si="0"/>
        <v>Monitor</v>
      </c>
      <c r="J9" s="8">
        <f>IF(_xlfn.XLOOKUP(A9,POTracking!$A:$A,POTracking!$D:$D,"")=0,"",_xlfn.XLOOKUP(A9,POTracking!$A:$A,POTracking!$D:$D,""))</f>
        <v>45968</v>
      </c>
      <c r="K9" s="9">
        <f t="shared" si="1"/>
        <v>2</v>
      </c>
      <c r="L9" t="str">
        <f t="shared" si="2"/>
        <v>Late</v>
      </c>
      <c r="M9" s="10">
        <f t="shared" si="3"/>
        <v>4</v>
      </c>
    </row>
    <row r="10" spans="1:13">
      <c r="A10" t="s">
        <v>560</v>
      </c>
      <c r="B10" t="s">
        <v>278</v>
      </c>
      <c r="C10" s="2">
        <v>45718</v>
      </c>
      <c r="D10" s="2">
        <v>45747</v>
      </c>
      <c r="E10" t="s">
        <v>548</v>
      </c>
      <c r="F10" t="s">
        <v>545</v>
      </c>
      <c r="G10" t="s">
        <v>561</v>
      </c>
      <c r="H10">
        <v>60</v>
      </c>
      <c r="I10" t="str">
        <f t="shared" si="0"/>
        <v>Complete</v>
      </c>
      <c r="J10" s="8">
        <f>IF(_xlfn.XLOOKUP(A10,POTracking!$A:$A,POTracking!$D:$D,"")=0,"",_xlfn.XLOOKUP(A10,POTracking!$A:$A,POTracking!$D:$D,""))</f>
        <v>45756</v>
      </c>
      <c r="K10" s="9">
        <f t="shared" si="1"/>
        <v>9</v>
      </c>
      <c r="L10" t="str">
        <f t="shared" si="2"/>
        <v>Late</v>
      </c>
      <c r="M10" s="10">
        <f t="shared" si="3"/>
        <v>38</v>
      </c>
    </row>
    <row r="11" spans="1:13">
      <c r="A11" t="s">
        <v>562</v>
      </c>
      <c r="B11" t="s">
        <v>261</v>
      </c>
      <c r="C11" s="2">
        <v>45827</v>
      </c>
      <c r="D11" s="2">
        <v>45844</v>
      </c>
      <c r="E11" t="s">
        <v>548</v>
      </c>
      <c r="F11" t="s">
        <v>545</v>
      </c>
      <c r="G11" t="s">
        <v>561</v>
      </c>
      <c r="H11">
        <v>60</v>
      </c>
      <c r="I11" t="str">
        <f t="shared" si="0"/>
        <v>Complete</v>
      </c>
      <c r="J11" s="8">
        <f>IF(_xlfn.XLOOKUP(A11,POTracking!$A:$A,POTracking!$D:$D,"")=0,"",_xlfn.XLOOKUP(A11,POTracking!$A:$A,POTracking!$D:$D,""))</f>
        <v>45840</v>
      </c>
      <c r="K11" s="9">
        <f t="shared" si="1"/>
        <v>-4</v>
      </c>
      <c r="L11" t="str">
        <f t="shared" si="2"/>
        <v>On Time/Early</v>
      </c>
      <c r="M11" s="10">
        <f t="shared" si="3"/>
        <v>13</v>
      </c>
    </row>
    <row r="12" spans="1:13">
      <c r="A12" t="s">
        <v>563</v>
      </c>
      <c r="B12" t="s">
        <v>276</v>
      </c>
      <c r="C12" s="2">
        <v>45908</v>
      </c>
      <c r="D12" s="2">
        <v>45934</v>
      </c>
      <c r="E12" t="s">
        <v>558</v>
      </c>
      <c r="F12" t="s">
        <v>545</v>
      </c>
      <c r="G12" t="s">
        <v>556</v>
      </c>
      <c r="H12">
        <v>45</v>
      </c>
      <c r="I12" t="str">
        <f t="shared" si="0"/>
        <v>Monitor</v>
      </c>
      <c r="J12" s="8" t="str">
        <f>IF(_xlfn.XLOOKUP(A12,POTracking!$A:$A,POTracking!$D:$D,"")=0,"",_xlfn.XLOOKUP(A12,POTracking!$A:$A,POTracking!$D:$D,""))</f>
        <v/>
      </c>
      <c r="K12" s="9" t="str">
        <f t="shared" si="1"/>
        <v/>
      </c>
      <c r="L12" t="str">
        <f t="shared" si="2"/>
        <v>Not Yet Received</v>
      </c>
      <c r="M12" s="10" t="str">
        <f t="shared" si="3"/>
        <v/>
      </c>
    </row>
    <row r="13" spans="1:13">
      <c r="A13" t="s">
        <v>564</v>
      </c>
      <c r="B13" t="s">
        <v>280</v>
      </c>
      <c r="C13" s="2">
        <v>45716</v>
      </c>
      <c r="D13" s="2">
        <v>45743</v>
      </c>
      <c r="E13" t="s">
        <v>548</v>
      </c>
      <c r="F13" t="s">
        <v>545</v>
      </c>
      <c r="G13" t="s">
        <v>546</v>
      </c>
      <c r="H13">
        <v>60</v>
      </c>
      <c r="I13" t="str">
        <f t="shared" si="0"/>
        <v>Complete</v>
      </c>
      <c r="J13" s="8">
        <f>IF(_xlfn.XLOOKUP(A13,POTracking!$A:$A,POTracking!$D:$D,"")=0,"",_xlfn.XLOOKUP(A13,POTracking!$A:$A,POTracking!$D:$D,""))</f>
        <v>45744</v>
      </c>
      <c r="K13" s="9">
        <f t="shared" si="1"/>
        <v>1</v>
      </c>
      <c r="L13" t="str">
        <f t="shared" si="2"/>
        <v>Late</v>
      </c>
      <c r="M13" s="10">
        <f t="shared" si="3"/>
        <v>28</v>
      </c>
    </row>
    <row r="14" spans="1:13">
      <c r="A14" t="s">
        <v>565</v>
      </c>
      <c r="B14" t="s">
        <v>280</v>
      </c>
      <c r="C14" s="2">
        <v>45737</v>
      </c>
      <c r="D14" s="2">
        <v>45764</v>
      </c>
      <c r="E14" t="s">
        <v>551</v>
      </c>
      <c r="F14" t="s">
        <v>545</v>
      </c>
      <c r="G14" t="s">
        <v>546</v>
      </c>
      <c r="H14">
        <v>45</v>
      </c>
      <c r="I14" t="str">
        <f t="shared" si="0"/>
        <v>Urgent Follow-Up</v>
      </c>
      <c r="J14" s="8" t="str">
        <f>IF(_xlfn.XLOOKUP(A14,POTracking!$A:$A,POTracking!$D:$D,"")=0,"",_xlfn.XLOOKUP(A14,POTracking!$A:$A,POTracking!$D:$D,""))</f>
        <v/>
      </c>
      <c r="K14" s="9" t="str">
        <f t="shared" si="1"/>
        <v/>
      </c>
      <c r="L14" t="str">
        <f t="shared" si="2"/>
        <v>Not Yet Received</v>
      </c>
      <c r="M14" s="10" t="str">
        <f t="shared" si="3"/>
        <v/>
      </c>
    </row>
    <row r="15" spans="1:13">
      <c r="A15" t="s">
        <v>566</v>
      </c>
      <c r="B15" t="s">
        <v>266</v>
      </c>
      <c r="C15" s="2">
        <v>45999</v>
      </c>
      <c r="D15" s="2">
        <v>46038</v>
      </c>
      <c r="E15" t="s">
        <v>551</v>
      </c>
      <c r="F15" t="s">
        <v>545</v>
      </c>
      <c r="G15" t="s">
        <v>549</v>
      </c>
      <c r="H15">
        <v>30</v>
      </c>
      <c r="I15" t="str">
        <f t="shared" si="0"/>
        <v>Urgent Follow-Up</v>
      </c>
      <c r="J15" s="8" t="str">
        <f>IF(_xlfn.XLOOKUP(A15,POTracking!$A:$A,POTracking!$D:$D,"")=0,"",_xlfn.XLOOKUP(A15,POTracking!$A:$A,POTracking!$D:$D,""))</f>
        <v/>
      </c>
      <c r="K15" s="9" t="str">
        <f t="shared" si="1"/>
        <v/>
      </c>
      <c r="L15" t="str">
        <f t="shared" si="2"/>
        <v>Not Yet Received</v>
      </c>
      <c r="M15" s="10" t="str">
        <f t="shared" si="3"/>
        <v/>
      </c>
    </row>
    <row r="16" spans="1:13">
      <c r="A16" t="s">
        <v>567</v>
      </c>
      <c r="B16" t="s">
        <v>286</v>
      </c>
      <c r="C16" s="2">
        <v>45701</v>
      </c>
      <c r="D16" s="2">
        <v>45729</v>
      </c>
      <c r="E16" t="s">
        <v>548</v>
      </c>
      <c r="F16" t="s">
        <v>545</v>
      </c>
      <c r="G16" t="s">
        <v>549</v>
      </c>
      <c r="H16">
        <v>60</v>
      </c>
      <c r="I16" t="str">
        <f t="shared" si="0"/>
        <v>Complete</v>
      </c>
      <c r="J16" s="8">
        <f>IF(_xlfn.XLOOKUP(A16,POTracking!$A:$A,POTracking!$D:$D,"")=0,"",_xlfn.XLOOKUP(A16,POTracking!$A:$A,POTracking!$D:$D,""))</f>
        <v>45729</v>
      </c>
      <c r="K16" s="9">
        <f t="shared" si="1"/>
        <v>0</v>
      </c>
      <c r="L16" t="str">
        <f t="shared" si="2"/>
        <v>On Time/Early</v>
      </c>
      <c r="M16" s="10">
        <f t="shared" si="3"/>
        <v>28</v>
      </c>
    </row>
    <row r="17" spans="1:13">
      <c r="A17" t="s">
        <v>568</v>
      </c>
      <c r="B17" t="s">
        <v>251</v>
      </c>
      <c r="C17" s="2">
        <v>45802</v>
      </c>
      <c r="D17" s="2">
        <v>45831</v>
      </c>
      <c r="E17" t="s">
        <v>551</v>
      </c>
      <c r="F17" t="s">
        <v>545</v>
      </c>
      <c r="G17" t="s">
        <v>552</v>
      </c>
      <c r="H17">
        <v>45</v>
      </c>
      <c r="I17" t="str">
        <f t="shared" si="0"/>
        <v>Urgent Follow-Up</v>
      </c>
      <c r="J17" s="8" t="str">
        <f>IF(_xlfn.XLOOKUP(A17,POTracking!$A:$A,POTracking!$D:$D,"")=0,"",_xlfn.XLOOKUP(A17,POTracking!$A:$A,POTracking!$D:$D,""))</f>
        <v/>
      </c>
      <c r="K17" s="9" t="str">
        <f t="shared" si="1"/>
        <v/>
      </c>
      <c r="L17" t="str">
        <f t="shared" si="2"/>
        <v>Not Yet Received</v>
      </c>
      <c r="M17" s="10" t="str">
        <f t="shared" si="3"/>
        <v/>
      </c>
    </row>
    <row r="18" spans="1:13">
      <c r="A18" t="s">
        <v>569</v>
      </c>
      <c r="B18" t="s">
        <v>270</v>
      </c>
      <c r="C18" s="2">
        <v>45965</v>
      </c>
      <c r="D18" s="2">
        <v>45982</v>
      </c>
      <c r="E18" t="s">
        <v>548</v>
      </c>
      <c r="F18" t="s">
        <v>545</v>
      </c>
      <c r="G18" t="s">
        <v>556</v>
      </c>
      <c r="H18">
        <v>45</v>
      </c>
      <c r="I18" t="str">
        <f t="shared" si="0"/>
        <v>Complete</v>
      </c>
      <c r="J18" s="8">
        <f>IF(_xlfn.XLOOKUP(A18,POTracking!$A:$A,POTracking!$D:$D,"")=0,"",_xlfn.XLOOKUP(A18,POTracking!$A:$A,POTracking!$D:$D,""))</f>
        <v>45979</v>
      </c>
      <c r="K18" s="9">
        <f t="shared" si="1"/>
        <v>-3</v>
      </c>
      <c r="L18" t="str">
        <f t="shared" si="2"/>
        <v>On Time/Early</v>
      </c>
      <c r="M18" s="10">
        <f t="shared" si="3"/>
        <v>14</v>
      </c>
    </row>
    <row r="19" spans="1:13">
      <c r="A19" t="s">
        <v>570</v>
      </c>
      <c r="B19" t="s">
        <v>247</v>
      </c>
      <c r="C19" s="2">
        <v>45699</v>
      </c>
      <c r="D19" s="2">
        <v>45709</v>
      </c>
      <c r="E19" t="s">
        <v>558</v>
      </c>
      <c r="F19" t="s">
        <v>545</v>
      </c>
      <c r="G19" t="s">
        <v>556</v>
      </c>
      <c r="H19">
        <v>45</v>
      </c>
      <c r="I19" t="str">
        <f t="shared" si="0"/>
        <v>Monitor</v>
      </c>
      <c r="J19" s="8">
        <f>IF(_xlfn.XLOOKUP(A19,POTracking!$A:$A,POTracking!$D:$D,"")=0,"",_xlfn.XLOOKUP(A19,POTracking!$A:$A,POTracking!$D:$D,""))</f>
        <v>45707</v>
      </c>
      <c r="K19" s="9">
        <f t="shared" si="1"/>
        <v>-2</v>
      </c>
      <c r="L19" t="str">
        <f t="shared" si="2"/>
        <v>On Time/Early</v>
      </c>
      <c r="M19" s="10">
        <f t="shared" si="3"/>
        <v>8</v>
      </c>
    </row>
    <row r="20" spans="1:13">
      <c r="A20" t="s">
        <v>571</v>
      </c>
      <c r="B20" t="s">
        <v>286</v>
      </c>
      <c r="C20" s="2">
        <v>45850</v>
      </c>
      <c r="D20" s="2">
        <v>45871</v>
      </c>
      <c r="E20" t="s">
        <v>558</v>
      </c>
      <c r="F20" t="s">
        <v>545</v>
      </c>
      <c r="G20" t="s">
        <v>552</v>
      </c>
      <c r="H20">
        <v>45</v>
      </c>
      <c r="I20" t="str">
        <f t="shared" si="0"/>
        <v>Monitor</v>
      </c>
      <c r="J20" s="8" t="str">
        <f>IF(_xlfn.XLOOKUP(A20,POTracking!$A:$A,POTracking!$D:$D,"")=0,"",_xlfn.XLOOKUP(A20,POTracking!$A:$A,POTracking!$D:$D,""))</f>
        <v/>
      </c>
      <c r="K20" s="9" t="str">
        <f t="shared" si="1"/>
        <v/>
      </c>
      <c r="L20" t="str">
        <f t="shared" si="2"/>
        <v>Not Yet Received</v>
      </c>
      <c r="M20" s="10" t="str">
        <f t="shared" si="3"/>
        <v/>
      </c>
    </row>
    <row r="21" spans="1:13">
      <c r="A21" t="s">
        <v>572</v>
      </c>
      <c r="B21" t="s">
        <v>270</v>
      </c>
      <c r="C21" s="2">
        <v>45719</v>
      </c>
      <c r="D21" s="2">
        <v>45725</v>
      </c>
      <c r="E21" t="s">
        <v>548</v>
      </c>
      <c r="F21" t="s">
        <v>545</v>
      </c>
      <c r="G21" t="s">
        <v>556</v>
      </c>
      <c r="H21">
        <v>30</v>
      </c>
      <c r="I21" t="str">
        <f t="shared" si="0"/>
        <v>Complete</v>
      </c>
      <c r="J21" s="8">
        <f>IF(_xlfn.XLOOKUP(A21,POTracking!$A:$A,POTracking!$D:$D,"")=0,"",_xlfn.XLOOKUP(A21,POTracking!$A:$A,POTracking!$D:$D,""))</f>
        <v>45725</v>
      </c>
      <c r="K21" s="9">
        <f t="shared" si="1"/>
        <v>0</v>
      </c>
      <c r="L21" t="str">
        <f t="shared" si="2"/>
        <v>On Time/Early</v>
      </c>
      <c r="M21" s="10">
        <f t="shared" si="3"/>
        <v>6</v>
      </c>
    </row>
    <row r="22" spans="1:13">
      <c r="A22" t="s">
        <v>573</v>
      </c>
      <c r="B22" t="s">
        <v>266</v>
      </c>
      <c r="C22" s="2">
        <v>45878</v>
      </c>
      <c r="D22" s="2">
        <v>45888</v>
      </c>
      <c r="E22" t="s">
        <v>548</v>
      </c>
      <c r="F22" t="s">
        <v>545</v>
      </c>
      <c r="G22" t="s">
        <v>556</v>
      </c>
      <c r="H22">
        <v>60</v>
      </c>
      <c r="I22" t="str">
        <f t="shared" si="0"/>
        <v>Complete</v>
      </c>
      <c r="J22" s="8">
        <f>IF(_xlfn.XLOOKUP(A22,POTracking!$A:$A,POTracking!$D:$D,"")=0,"",_xlfn.XLOOKUP(A22,POTracking!$A:$A,POTracking!$D:$D,""))</f>
        <v>45894</v>
      </c>
      <c r="K22" s="9">
        <f t="shared" si="1"/>
        <v>6</v>
      </c>
      <c r="L22" t="str">
        <f t="shared" si="2"/>
        <v>Late</v>
      </c>
      <c r="M22" s="10">
        <f t="shared" si="3"/>
        <v>16</v>
      </c>
    </row>
    <row r="23" spans="1:13">
      <c r="A23" t="s">
        <v>574</v>
      </c>
      <c r="B23" t="s">
        <v>236</v>
      </c>
      <c r="C23" s="2">
        <v>45876</v>
      </c>
      <c r="D23" s="2">
        <v>45886</v>
      </c>
      <c r="E23" t="s">
        <v>558</v>
      </c>
      <c r="F23" t="s">
        <v>545</v>
      </c>
      <c r="G23" t="s">
        <v>549</v>
      </c>
      <c r="H23">
        <v>45</v>
      </c>
      <c r="I23" t="str">
        <f t="shared" si="0"/>
        <v>Monitor</v>
      </c>
      <c r="J23" s="8" t="str">
        <f>IF(_xlfn.XLOOKUP(A23,POTracking!$A:$A,POTracking!$D:$D,"")=0,"",_xlfn.XLOOKUP(A23,POTracking!$A:$A,POTracking!$D:$D,""))</f>
        <v/>
      </c>
      <c r="K23" s="9" t="str">
        <f t="shared" si="1"/>
        <v/>
      </c>
      <c r="L23" t="str">
        <f t="shared" si="2"/>
        <v>Not Yet Received</v>
      </c>
      <c r="M23" s="10" t="str">
        <f t="shared" si="3"/>
        <v/>
      </c>
    </row>
    <row r="24" spans="1:13">
      <c r="A24" t="s">
        <v>575</v>
      </c>
      <c r="B24" t="s">
        <v>261</v>
      </c>
      <c r="C24" s="2">
        <v>45855</v>
      </c>
      <c r="D24" s="2">
        <v>45861</v>
      </c>
      <c r="E24" t="s">
        <v>548</v>
      </c>
      <c r="F24" t="s">
        <v>545</v>
      </c>
      <c r="G24" t="s">
        <v>546</v>
      </c>
      <c r="H24">
        <v>30</v>
      </c>
      <c r="I24" t="str">
        <f t="shared" si="0"/>
        <v>Complete</v>
      </c>
      <c r="J24" s="8">
        <f>IF(_xlfn.XLOOKUP(A24,POTracking!$A:$A,POTracking!$D:$D,"")=0,"",_xlfn.XLOOKUP(A24,POTracking!$A:$A,POTracking!$D:$D,""))</f>
        <v>45862</v>
      </c>
      <c r="K24" s="9">
        <f t="shared" si="1"/>
        <v>1</v>
      </c>
      <c r="L24" t="str">
        <f t="shared" si="2"/>
        <v>Late</v>
      </c>
      <c r="M24" s="10">
        <f t="shared" si="3"/>
        <v>7</v>
      </c>
    </row>
    <row r="25" spans="1:13">
      <c r="A25" t="s">
        <v>576</v>
      </c>
      <c r="B25" t="s">
        <v>272</v>
      </c>
      <c r="C25" s="2">
        <v>45712</v>
      </c>
      <c r="D25" s="2">
        <v>45716</v>
      </c>
      <c r="E25" t="s">
        <v>548</v>
      </c>
      <c r="F25" t="s">
        <v>545</v>
      </c>
      <c r="G25" t="s">
        <v>552</v>
      </c>
      <c r="H25">
        <v>60</v>
      </c>
      <c r="I25" t="str">
        <f t="shared" si="0"/>
        <v>Complete</v>
      </c>
      <c r="J25" s="8">
        <f>IF(_xlfn.XLOOKUP(A25,POTracking!$A:$A,POTracking!$D:$D,"")=0,"",_xlfn.XLOOKUP(A25,POTracking!$A:$A,POTracking!$D:$D,""))</f>
        <v>45713</v>
      </c>
      <c r="K25" s="9">
        <f t="shared" si="1"/>
        <v>-3</v>
      </c>
      <c r="L25" t="str">
        <f t="shared" si="2"/>
        <v>On Time/Early</v>
      </c>
      <c r="M25" s="10">
        <f t="shared" si="3"/>
        <v>1</v>
      </c>
    </row>
    <row r="26" spans="1:13">
      <c r="A26" t="s">
        <v>577</v>
      </c>
      <c r="B26" t="s">
        <v>280</v>
      </c>
      <c r="C26" s="2">
        <v>45744</v>
      </c>
      <c r="D26" s="2">
        <v>45766</v>
      </c>
      <c r="E26" t="s">
        <v>548</v>
      </c>
      <c r="F26" t="s">
        <v>545</v>
      </c>
      <c r="G26" t="s">
        <v>556</v>
      </c>
      <c r="H26">
        <v>60</v>
      </c>
      <c r="I26" t="str">
        <f t="shared" si="0"/>
        <v>Complete</v>
      </c>
      <c r="J26" s="8">
        <f>IF(_xlfn.XLOOKUP(A26,POTracking!$A:$A,POTracking!$D:$D,"")=0,"",_xlfn.XLOOKUP(A26,POTracking!$A:$A,POTracking!$D:$D,""))</f>
        <v>45767</v>
      </c>
      <c r="K26" s="9">
        <f t="shared" si="1"/>
        <v>1</v>
      </c>
      <c r="L26" t="str">
        <f t="shared" si="2"/>
        <v>Late</v>
      </c>
      <c r="M26" s="10">
        <f t="shared" si="3"/>
        <v>23</v>
      </c>
    </row>
    <row r="27" spans="1:13">
      <c r="A27" t="s">
        <v>578</v>
      </c>
      <c r="B27" t="s">
        <v>251</v>
      </c>
      <c r="C27" s="2">
        <v>45982</v>
      </c>
      <c r="D27" s="2">
        <v>45988</v>
      </c>
      <c r="E27" t="s">
        <v>558</v>
      </c>
      <c r="F27" t="s">
        <v>545</v>
      </c>
      <c r="G27" t="s">
        <v>546</v>
      </c>
      <c r="H27">
        <v>60</v>
      </c>
      <c r="I27" t="str">
        <f t="shared" si="0"/>
        <v>Monitor</v>
      </c>
      <c r="J27" s="8" t="str">
        <f>IF(_xlfn.XLOOKUP(A27,POTracking!$A:$A,POTracking!$D:$D,"")=0,"",_xlfn.XLOOKUP(A27,POTracking!$A:$A,POTracking!$D:$D,""))</f>
        <v/>
      </c>
      <c r="K27" s="9" t="str">
        <f t="shared" si="1"/>
        <v/>
      </c>
      <c r="L27" t="str">
        <f t="shared" si="2"/>
        <v>Not Yet Received</v>
      </c>
      <c r="M27" s="10" t="str">
        <f t="shared" si="3"/>
        <v/>
      </c>
    </row>
    <row r="28" spans="1:13">
      <c r="A28" t="s">
        <v>579</v>
      </c>
      <c r="B28" t="s">
        <v>270</v>
      </c>
      <c r="C28" s="2">
        <v>45854</v>
      </c>
      <c r="D28" s="2">
        <v>45861</v>
      </c>
      <c r="E28" t="s">
        <v>548</v>
      </c>
      <c r="F28" t="s">
        <v>545</v>
      </c>
      <c r="G28" t="s">
        <v>561</v>
      </c>
      <c r="H28">
        <v>60</v>
      </c>
      <c r="I28" t="str">
        <f t="shared" si="0"/>
        <v>Complete</v>
      </c>
      <c r="J28" s="8">
        <f>IF(_xlfn.XLOOKUP(A28,POTracking!$A:$A,POTracking!$D:$D,"")=0,"",_xlfn.XLOOKUP(A28,POTracking!$A:$A,POTracking!$D:$D,""))</f>
        <v>45865</v>
      </c>
      <c r="K28" s="9">
        <f t="shared" si="1"/>
        <v>4</v>
      </c>
      <c r="L28" t="str">
        <f t="shared" si="2"/>
        <v>Late</v>
      </c>
      <c r="M28" s="10">
        <f t="shared" si="3"/>
        <v>11</v>
      </c>
    </row>
    <row r="29" spans="1:13">
      <c r="A29" t="s">
        <v>580</v>
      </c>
      <c r="B29" t="s">
        <v>242</v>
      </c>
      <c r="C29" s="2">
        <v>45714</v>
      </c>
      <c r="D29" s="2">
        <v>45729</v>
      </c>
      <c r="E29" t="s">
        <v>548</v>
      </c>
      <c r="F29" t="s">
        <v>545</v>
      </c>
      <c r="G29" t="s">
        <v>561</v>
      </c>
      <c r="H29">
        <v>30</v>
      </c>
      <c r="I29" t="str">
        <f t="shared" si="0"/>
        <v>Complete</v>
      </c>
      <c r="J29" s="8">
        <f>IF(_xlfn.XLOOKUP(A29,POTracking!$A:$A,POTracking!$D:$D,"")=0,"",_xlfn.XLOOKUP(A29,POTracking!$A:$A,POTracking!$D:$D,""))</f>
        <v>45739</v>
      </c>
      <c r="K29" s="9">
        <f t="shared" si="1"/>
        <v>10</v>
      </c>
      <c r="L29" t="str">
        <f t="shared" si="2"/>
        <v>Late</v>
      </c>
      <c r="M29" s="10">
        <f t="shared" si="3"/>
        <v>25</v>
      </c>
    </row>
    <row r="30" spans="1:13">
      <c r="A30" t="s">
        <v>581</v>
      </c>
      <c r="B30" t="s">
        <v>278</v>
      </c>
      <c r="C30" s="2">
        <v>45928</v>
      </c>
      <c r="D30" s="2">
        <v>45957</v>
      </c>
      <c r="E30" t="s">
        <v>548</v>
      </c>
      <c r="F30" t="s">
        <v>545</v>
      </c>
      <c r="G30" t="s">
        <v>546</v>
      </c>
      <c r="H30">
        <v>60</v>
      </c>
      <c r="I30" t="str">
        <f t="shared" si="0"/>
        <v>Complete</v>
      </c>
      <c r="J30" s="8">
        <f>IF(_xlfn.XLOOKUP(A30,POTracking!$A:$A,POTracking!$D:$D,"")=0,"",_xlfn.XLOOKUP(A30,POTracking!$A:$A,POTracking!$D:$D,""))</f>
        <v>45954</v>
      </c>
      <c r="K30" s="9">
        <f t="shared" si="1"/>
        <v>-3</v>
      </c>
      <c r="L30" t="str">
        <f t="shared" si="2"/>
        <v>On Time/Early</v>
      </c>
      <c r="M30" s="10">
        <f t="shared" si="3"/>
        <v>26</v>
      </c>
    </row>
    <row r="31" spans="1:13">
      <c r="A31" t="s">
        <v>582</v>
      </c>
      <c r="B31" t="s">
        <v>286</v>
      </c>
      <c r="C31" s="2">
        <v>45870</v>
      </c>
      <c r="D31" s="2">
        <v>45893</v>
      </c>
      <c r="E31" t="s">
        <v>548</v>
      </c>
      <c r="F31" t="s">
        <v>545</v>
      </c>
      <c r="G31" t="s">
        <v>549</v>
      </c>
      <c r="H31">
        <v>45</v>
      </c>
      <c r="I31" t="str">
        <f t="shared" si="0"/>
        <v>Complete</v>
      </c>
      <c r="J31" s="8">
        <f>IF(_xlfn.XLOOKUP(A31,POTracking!$A:$A,POTracking!$D:$D,"")=0,"",_xlfn.XLOOKUP(A31,POTracking!$A:$A,POTracking!$D:$D,""))</f>
        <v>45891</v>
      </c>
      <c r="K31" s="9">
        <f t="shared" si="1"/>
        <v>-2</v>
      </c>
      <c r="L31" t="str">
        <f t="shared" si="2"/>
        <v>On Time/Early</v>
      </c>
      <c r="M31" s="10">
        <f t="shared" si="3"/>
        <v>21</v>
      </c>
    </row>
    <row r="32" spans="1:13">
      <c r="A32" t="s">
        <v>583</v>
      </c>
      <c r="B32" t="s">
        <v>272</v>
      </c>
      <c r="C32" s="2">
        <v>45684</v>
      </c>
      <c r="D32" s="2">
        <v>45697</v>
      </c>
      <c r="E32" t="s">
        <v>551</v>
      </c>
      <c r="F32" t="s">
        <v>545</v>
      </c>
      <c r="G32" t="s">
        <v>561</v>
      </c>
      <c r="H32">
        <v>30</v>
      </c>
      <c r="I32" t="str">
        <f t="shared" si="0"/>
        <v>Urgent Follow-Up</v>
      </c>
      <c r="J32" s="8" t="str">
        <f>IF(_xlfn.XLOOKUP(A32,POTracking!$A:$A,POTracking!$D:$D,"")=0,"",_xlfn.XLOOKUP(A32,POTracking!$A:$A,POTracking!$D:$D,""))</f>
        <v/>
      </c>
      <c r="K32" s="9" t="str">
        <f t="shared" si="1"/>
        <v/>
      </c>
      <c r="L32" t="str">
        <f t="shared" si="2"/>
        <v>Not Yet Received</v>
      </c>
      <c r="M32" s="10" t="str">
        <f t="shared" si="3"/>
        <v/>
      </c>
    </row>
    <row r="33" spans="1:13">
      <c r="A33" t="s">
        <v>584</v>
      </c>
      <c r="B33" t="s">
        <v>236</v>
      </c>
      <c r="C33" s="2">
        <v>45695</v>
      </c>
      <c r="D33" s="2">
        <v>45705</v>
      </c>
      <c r="E33" t="s">
        <v>558</v>
      </c>
      <c r="F33" t="s">
        <v>545</v>
      </c>
      <c r="G33" t="s">
        <v>546</v>
      </c>
      <c r="H33">
        <v>60</v>
      </c>
      <c r="I33" t="str">
        <f t="shared" si="0"/>
        <v>Monitor</v>
      </c>
      <c r="J33" s="8">
        <f>IF(_xlfn.XLOOKUP(A33,POTracking!$A:$A,POTracking!$D:$D,"")=0,"",_xlfn.XLOOKUP(A33,POTracking!$A:$A,POTracking!$D:$D,""))</f>
        <v>45704</v>
      </c>
      <c r="K33" s="9">
        <f t="shared" si="1"/>
        <v>-1</v>
      </c>
      <c r="L33" t="str">
        <f t="shared" si="2"/>
        <v>On Time/Early</v>
      </c>
      <c r="M33" s="10">
        <f t="shared" si="3"/>
        <v>9</v>
      </c>
    </row>
    <row r="34" spans="1:13">
      <c r="A34" t="s">
        <v>585</v>
      </c>
      <c r="B34" t="s">
        <v>270</v>
      </c>
      <c r="C34" s="2">
        <v>45861</v>
      </c>
      <c r="D34" s="2">
        <v>45885</v>
      </c>
      <c r="E34" t="s">
        <v>548</v>
      </c>
      <c r="F34" t="s">
        <v>545</v>
      </c>
      <c r="G34" t="s">
        <v>549</v>
      </c>
      <c r="H34">
        <v>60</v>
      </c>
      <c r="I34" t="str">
        <f t="shared" si="0"/>
        <v>Complete</v>
      </c>
      <c r="J34" s="8">
        <f>IF(_xlfn.XLOOKUP(A34,POTracking!$A:$A,POTracking!$D:$D,"")=0,"",_xlfn.XLOOKUP(A34,POTracking!$A:$A,POTracking!$D:$D,""))</f>
        <v>45879</v>
      </c>
      <c r="K34" s="9">
        <f t="shared" si="1"/>
        <v>-6</v>
      </c>
      <c r="L34" t="str">
        <f t="shared" si="2"/>
        <v>On Time/Early</v>
      </c>
      <c r="M34" s="10">
        <f t="shared" si="3"/>
        <v>18</v>
      </c>
    </row>
    <row r="35" spans="1:13">
      <c r="A35" t="s">
        <v>586</v>
      </c>
      <c r="B35" t="s">
        <v>280</v>
      </c>
      <c r="C35" s="2">
        <v>45842</v>
      </c>
      <c r="D35" s="2">
        <v>45846</v>
      </c>
      <c r="E35" t="s">
        <v>548</v>
      </c>
      <c r="F35" t="s">
        <v>545</v>
      </c>
      <c r="G35" t="s">
        <v>556</v>
      </c>
      <c r="H35">
        <v>45</v>
      </c>
      <c r="I35" t="str">
        <f t="shared" si="0"/>
        <v>Complete</v>
      </c>
      <c r="J35" s="8">
        <f>IF(_xlfn.XLOOKUP(A35,POTracking!$A:$A,POTracking!$D:$D,"")=0,"",_xlfn.XLOOKUP(A35,POTracking!$A:$A,POTracking!$D:$D,""))</f>
        <v>45853</v>
      </c>
      <c r="K35" s="9">
        <f t="shared" si="1"/>
        <v>7</v>
      </c>
      <c r="L35" t="str">
        <f t="shared" si="2"/>
        <v>Late</v>
      </c>
      <c r="M35" s="10">
        <f t="shared" si="3"/>
        <v>11</v>
      </c>
    </row>
    <row r="36" spans="1:13">
      <c r="A36" t="s">
        <v>587</v>
      </c>
      <c r="B36" t="s">
        <v>280</v>
      </c>
      <c r="C36" s="2">
        <v>45803</v>
      </c>
      <c r="D36" s="2">
        <v>45815</v>
      </c>
      <c r="E36" t="s">
        <v>548</v>
      </c>
      <c r="F36" t="s">
        <v>545</v>
      </c>
      <c r="G36" t="s">
        <v>561</v>
      </c>
      <c r="H36">
        <v>60</v>
      </c>
      <c r="I36" t="str">
        <f t="shared" si="0"/>
        <v>Complete</v>
      </c>
      <c r="J36" s="8">
        <f>IF(_xlfn.XLOOKUP(A36,POTracking!$A:$A,POTracking!$D:$D,"")=0,"",_xlfn.XLOOKUP(A36,POTracking!$A:$A,POTracking!$D:$D,""))</f>
        <v>45818</v>
      </c>
      <c r="K36" s="9">
        <f t="shared" si="1"/>
        <v>3</v>
      </c>
      <c r="L36" t="str">
        <f t="shared" si="2"/>
        <v>Late</v>
      </c>
      <c r="M36" s="10">
        <f t="shared" si="3"/>
        <v>15</v>
      </c>
    </row>
    <row r="37" spans="1:13">
      <c r="A37" t="s">
        <v>588</v>
      </c>
      <c r="B37" t="s">
        <v>276</v>
      </c>
      <c r="C37" s="2">
        <v>45776</v>
      </c>
      <c r="D37" s="2">
        <v>45789</v>
      </c>
      <c r="E37" t="s">
        <v>548</v>
      </c>
      <c r="F37" t="s">
        <v>545</v>
      </c>
      <c r="G37" t="s">
        <v>556</v>
      </c>
      <c r="H37">
        <v>60</v>
      </c>
      <c r="I37" t="str">
        <f t="shared" si="0"/>
        <v>Complete</v>
      </c>
      <c r="J37" s="8">
        <f>IF(_xlfn.XLOOKUP(A37,POTracking!$A:$A,POTracking!$D:$D,"")=0,"",_xlfn.XLOOKUP(A37,POTracking!$A:$A,POTracking!$D:$D,""))</f>
        <v>45790</v>
      </c>
      <c r="K37" s="9">
        <f t="shared" si="1"/>
        <v>1</v>
      </c>
      <c r="L37" t="str">
        <f t="shared" si="2"/>
        <v>Late</v>
      </c>
      <c r="M37" s="10">
        <f t="shared" si="3"/>
        <v>14</v>
      </c>
    </row>
    <row r="38" spans="1:13">
      <c r="A38" t="s">
        <v>589</v>
      </c>
      <c r="B38" t="s">
        <v>242</v>
      </c>
      <c r="C38" s="2">
        <v>45735</v>
      </c>
      <c r="D38" s="2">
        <v>45757</v>
      </c>
      <c r="E38" t="s">
        <v>558</v>
      </c>
      <c r="F38" t="s">
        <v>545</v>
      </c>
      <c r="G38" t="s">
        <v>546</v>
      </c>
      <c r="H38">
        <v>60</v>
      </c>
      <c r="I38" t="str">
        <f t="shared" si="0"/>
        <v>Monitor</v>
      </c>
      <c r="J38" s="8" t="str">
        <f>IF(_xlfn.XLOOKUP(A38,POTracking!$A:$A,POTracking!$D:$D,"")=0,"",_xlfn.XLOOKUP(A38,POTracking!$A:$A,POTracking!$D:$D,""))</f>
        <v/>
      </c>
      <c r="K38" s="9" t="str">
        <f t="shared" si="1"/>
        <v/>
      </c>
      <c r="L38" t="str">
        <f t="shared" si="2"/>
        <v>Not Yet Received</v>
      </c>
      <c r="M38" s="10" t="str">
        <f t="shared" si="3"/>
        <v/>
      </c>
    </row>
    <row r="39" spans="1:13">
      <c r="A39" t="s">
        <v>590</v>
      </c>
      <c r="B39" t="s">
        <v>284</v>
      </c>
      <c r="C39" s="2">
        <v>45750</v>
      </c>
      <c r="D39" s="2">
        <v>45784</v>
      </c>
      <c r="E39" t="s">
        <v>548</v>
      </c>
      <c r="F39" t="s">
        <v>545</v>
      </c>
      <c r="G39" t="s">
        <v>561</v>
      </c>
      <c r="H39">
        <v>45</v>
      </c>
      <c r="I39" t="str">
        <f t="shared" si="0"/>
        <v>Complete</v>
      </c>
      <c r="J39" s="8">
        <f>IF(_xlfn.XLOOKUP(A39,POTracking!$A:$A,POTracking!$D:$D,"")=0,"",_xlfn.XLOOKUP(A39,POTracking!$A:$A,POTracking!$D:$D,""))</f>
        <v>45778</v>
      </c>
      <c r="K39" s="9">
        <f t="shared" si="1"/>
        <v>-6</v>
      </c>
      <c r="L39" t="str">
        <f t="shared" si="2"/>
        <v>On Time/Early</v>
      </c>
      <c r="M39" s="10">
        <f t="shared" si="3"/>
        <v>28</v>
      </c>
    </row>
    <row r="40" spans="1:13">
      <c r="A40" t="s">
        <v>591</v>
      </c>
      <c r="B40" t="s">
        <v>278</v>
      </c>
      <c r="C40" s="2">
        <v>45876</v>
      </c>
      <c r="D40" s="2">
        <v>45886</v>
      </c>
      <c r="E40" t="s">
        <v>548</v>
      </c>
      <c r="F40" t="s">
        <v>545</v>
      </c>
      <c r="G40" t="s">
        <v>549</v>
      </c>
      <c r="H40">
        <v>60</v>
      </c>
      <c r="I40" t="str">
        <f t="shared" si="0"/>
        <v>Complete</v>
      </c>
      <c r="J40" s="8">
        <f>IF(_xlfn.XLOOKUP(A40,POTracking!$A:$A,POTracking!$D:$D,"")=0,"",_xlfn.XLOOKUP(A40,POTracking!$A:$A,POTracking!$D:$D,""))</f>
        <v>45887</v>
      </c>
      <c r="K40" s="9">
        <f t="shared" si="1"/>
        <v>1</v>
      </c>
      <c r="L40" t="str">
        <f t="shared" si="2"/>
        <v>Late</v>
      </c>
      <c r="M40" s="10">
        <f t="shared" si="3"/>
        <v>11</v>
      </c>
    </row>
    <row r="41" spans="1:13">
      <c r="A41" t="s">
        <v>592</v>
      </c>
      <c r="B41" t="s">
        <v>286</v>
      </c>
      <c r="C41" s="2">
        <v>45825</v>
      </c>
      <c r="D41" s="2">
        <v>45831</v>
      </c>
      <c r="E41" t="s">
        <v>548</v>
      </c>
      <c r="F41" t="s">
        <v>545</v>
      </c>
      <c r="G41" t="s">
        <v>552</v>
      </c>
      <c r="H41">
        <v>60</v>
      </c>
      <c r="I41" t="str">
        <f t="shared" si="0"/>
        <v>Complete</v>
      </c>
      <c r="J41" s="8">
        <f>IF(_xlfn.XLOOKUP(A41,POTracking!$A:$A,POTracking!$D:$D,"")=0,"",_xlfn.XLOOKUP(A41,POTracking!$A:$A,POTracking!$D:$D,""))</f>
        <v>45829</v>
      </c>
      <c r="K41" s="9">
        <f t="shared" si="1"/>
        <v>-2</v>
      </c>
      <c r="L41" t="str">
        <f t="shared" si="2"/>
        <v>On Time/Early</v>
      </c>
      <c r="M41" s="10">
        <f t="shared" si="3"/>
        <v>4</v>
      </c>
    </row>
    <row r="42" spans="1:13">
      <c r="A42" t="s">
        <v>593</v>
      </c>
      <c r="B42" t="s">
        <v>278</v>
      </c>
      <c r="C42" s="2">
        <v>45898</v>
      </c>
      <c r="D42" s="2">
        <v>45921</v>
      </c>
      <c r="E42" t="s">
        <v>558</v>
      </c>
      <c r="F42" t="s">
        <v>545</v>
      </c>
      <c r="G42" t="s">
        <v>552</v>
      </c>
      <c r="H42">
        <v>45</v>
      </c>
      <c r="I42" t="str">
        <f t="shared" si="0"/>
        <v>Monitor</v>
      </c>
      <c r="J42" s="8">
        <f>IF(_xlfn.XLOOKUP(A42,POTracking!$A:$A,POTracking!$D:$D,"")=0,"",_xlfn.XLOOKUP(A42,POTracking!$A:$A,POTracking!$D:$D,""))</f>
        <v>45911</v>
      </c>
      <c r="K42" s="9">
        <f t="shared" si="1"/>
        <v>-10</v>
      </c>
      <c r="L42" t="str">
        <f t="shared" si="2"/>
        <v>On Time/Early</v>
      </c>
      <c r="M42" s="10">
        <f t="shared" si="3"/>
        <v>13</v>
      </c>
    </row>
    <row r="43" spans="1:13">
      <c r="A43" t="s">
        <v>594</v>
      </c>
      <c r="B43" t="s">
        <v>242</v>
      </c>
      <c r="C43" s="2">
        <v>45980</v>
      </c>
      <c r="D43" s="2">
        <v>45986</v>
      </c>
      <c r="E43" t="s">
        <v>544</v>
      </c>
      <c r="F43" t="s">
        <v>545</v>
      </c>
      <c r="G43" t="s">
        <v>549</v>
      </c>
      <c r="H43">
        <v>60</v>
      </c>
      <c r="I43" t="str">
        <f t="shared" si="0"/>
        <v>Monitor</v>
      </c>
      <c r="J43" s="8" t="str">
        <f>IF(_xlfn.XLOOKUP(A43,POTracking!$A:$A,POTracking!$D:$D,"")=0,"",_xlfn.XLOOKUP(A43,POTracking!$A:$A,POTracking!$D:$D,""))</f>
        <v/>
      </c>
      <c r="K43" s="9" t="str">
        <f t="shared" si="1"/>
        <v/>
      </c>
      <c r="L43" t="str">
        <f t="shared" si="2"/>
        <v>Not Yet Received</v>
      </c>
      <c r="M43" s="10" t="str">
        <f t="shared" si="3"/>
        <v/>
      </c>
    </row>
    <row r="44" spans="1:13">
      <c r="A44" t="s">
        <v>595</v>
      </c>
      <c r="B44" t="s">
        <v>268</v>
      </c>
      <c r="C44" s="2">
        <v>45925</v>
      </c>
      <c r="D44" s="2">
        <v>45928</v>
      </c>
      <c r="E44" t="s">
        <v>544</v>
      </c>
      <c r="F44" t="s">
        <v>545</v>
      </c>
      <c r="G44" t="s">
        <v>561</v>
      </c>
      <c r="H44">
        <v>45</v>
      </c>
      <c r="I44" t="str">
        <f t="shared" si="0"/>
        <v>Monitor</v>
      </c>
      <c r="J44" s="8" t="str">
        <f>IF(_xlfn.XLOOKUP(A44,POTracking!$A:$A,POTracking!$D:$D,"")=0,"",_xlfn.XLOOKUP(A44,POTracking!$A:$A,POTracking!$D:$D,""))</f>
        <v/>
      </c>
      <c r="K44" s="9" t="str">
        <f t="shared" si="1"/>
        <v/>
      </c>
      <c r="L44" t="str">
        <f t="shared" si="2"/>
        <v>Not Yet Received</v>
      </c>
      <c r="M44" s="10" t="str">
        <f t="shared" si="3"/>
        <v/>
      </c>
    </row>
    <row r="45" spans="1:13">
      <c r="A45" t="s">
        <v>596</v>
      </c>
      <c r="B45" t="s">
        <v>242</v>
      </c>
      <c r="C45" s="2">
        <v>45662</v>
      </c>
      <c r="D45" s="2">
        <v>45674</v>
      </c>
      <c r="E45" t="s">
        <v>548</v>
      </c>
      <c r="F45" t="s">
        <v>545</v>
      </c>
      <c r="G45" t="s">
        <v>556</v>
      </c>
      <c r="H45">
        <v>60</v>
      </c>
      <c r="I45" t="str">
        <f t="shared" si="0"/>
        <v>Complete</v>
      </c>
      <c r="J45" s="8">
        <f>IF(_xlfn.XLOOKUP(A45,POTracking!$A:$A,POTracking!$D:$D,"")=0,"",_xlfn.XLOOKUP(A45,POTracking!$A:$A,POTracking!$D:$D,""))</f>
        <v>45676</v>
      </c>
      <c r="K45" s="9">
        <f t="shared" si="1"/>
        <v>2</v>
      </c>
      <c r="L45" t="str">
        <f t="shared" si="2"/>
        <v>Late</v>
      </c>
      <c r="M45" s="10">
        <f t="shared" si="3"/>
        <v>14</v>
      </c>
    </row>
    <row r="46" spans="1:13">
      <c r="A46" t="s">
        <v>597</v>
      </c>
      <c r="B46" t="s">
        <v>272</v>
      </c>
      <c r="C46" s="2">
        <v>45984</v>
      </c>
      <c r="D46" s="2">
        <v>45988</v>
      </c>
      <c r="E46" t="s">
        <v>548</v>
      </c>
      <c r="F46" t="s">
        <v>545</v>
      </c>
      <c r="G46" t="s">
        <v>549</v>
      </c>
      <c r="H46">
        <v>30</v>
      </c>
      <c r="I46" t="str">
        <f t="shared" si="0"/>
        <v>Complete</v>
      </c>
      <c r="J46" s="8">
        <f>IF(_xlfn.XLOOKUP(A46,POTracking!$A:$A,POTracking!$D:$D,"")=0,"",_xlfn.XLOOKUP(A46,POTracking!$A:$A,POTracking!$D:$D,""))</f>
        <v>45995</v>
      </c>
      <c r="K46" s="9">
        <f t="shared" si="1"/>
        <v>7</v>
      </c>
      <c r="L46" t="str">
        <f t="shared" si="2"/>
        <v>Late</v>
      </c>
      <c r="M46" s="10">
        <f t="shared" si="3"/>
        <v>11</v>
      </c>
    </row>
    <row r="47" spans="1:13">
      <c r="A47" t="s">
        <v>598</v>
      </c>
      <c r="B47" t="s">
        <v>282</v>
      </c>
      <c r="C47" s="2">
        <v>45856</v>
      </c>
      <c r="D47" s="2">
        <v>45865</v>
      </c>
      <c r="E47" t="s">
        <v>551</v>
      </c>
      <c r="F47" t="s">
        <v>545</v>
      </c>
      <c r="G47" t="s">
        <v>552</v>
      </c>
      <c r="H47">
        <v>60</v>
      </c>
      <c r="I47" t="str">
        <f t="shared" si="0"/>
        <v>Urgent Follow-Up</v>
      </c>
      <c r="J47" s="8" t="str">
        <f>IF(_xlfn.XLOOKUP(A47,POTracking!$A:$A,POTracking!$D:$D,"")=0,"",_xlfn.XLOOKUP(A47,POTracking!$A:$A,POTracking!$D:$D,""))</f>
        <v/>
      </c>
      <c r="K47" s="9" t="str">
        <f t="shared" si="1"/>
        <v/>
      </c>
      <c r="L47" t="str">
        <f t="shared" si="2"/>
        <v>Not Yet Received</v>
      </c>
      <c r="M47" s="10" t="str">
        <f t="shared" si="3"/>
        <v/>
      </c>
    </row>
    <row r="48" spans="1:13">
      <c r="A48" t="s">
        <v>599</v>
      </c>
      <c r="B48" t="s">
        <v>266</v>
      </c>
      <c r="C48" s="2">
        <v>45997</v>
      </c>
      <c r="D48" s="2">
        <v>46036</v>
      </c>
      <c r="E48" t="s">
        <v>544</v>
      </c>
      <c r="F48" t="s">
        <v>545</v>
      </c>
      <c r="G48" t="s">
        <v>561</v>
      </c>
      <c r="H48">
        <v>30</v>
      </c>
      <c r="I48" t="str">
        <f t="shared" si="0"/>
        <v>Monitor</v>
      </c>
      <c r="J48" s="8" t="str">
        <f>IF(_xlfn.XLOOKUP(A48,POTracking!$A:$A,POTracking!$D:$D,"")=0,"",_xlfn.XLOOKUP(A48,POTracking!$A:$A,POTracking!$D:$D,""))</f>
        <v/>
      </c>
      <c r="K48" s="9" t="str">
        <f t="shared" si="1"/>
        <v/>
      </c>
      <c r="L48" t="str">
        <f t="shared" si="2"/>
        <v>Not Yet Received</v>
      </c>
      <c r="M48" s="10" t="str">
        <f t="shared" si="3"/>
        <v/>
      </c>
    </row>
    <row r="49" spans="1:13">
      <c r="A49" t="s">
        <v>600</v>
      </c>
      <c r="B49" t="s">
        <v>276</v>
      </c>
      <c r="C49" s="2">
        <v>45931</v>
      </c>
      <c r="D49" s="2">
        <v>45944</v>
      </c>
      <c r="E49" t="s">
        <v>558</v>
      </c>
      <c r="F49" t="s">
        <v>545</v>
      </c>
      <c r="G49" t="s">
        <v>546</v>
      </c>
      <c r="H49">
        <v>60</v>
      </c>
      <c r="I49" t="str">
        <f t="shared" si="0"/>
        <v>Monitor</v>
      </c>
      <c r="J49" s="8">
        <f>IF(_xlfn.XLOOKUP(A49,POTracking!$A:$A,POTracking!$D:$D,"")=0,"",_xlfn.XLOOKUP(A49,POTracking!$A:$A,POTracking!$D:$D,""))</f>
        <v>45942</v>
      </c>
      <c r="K49" s="9">
        <f t="shared" si="1"/>
        <v>-2</v>
      </c>
      <c r="L49" t="str">
        <f t="shared" si="2"/>
        <v>On Time/Early</v>
      </c>
      <c r="M49" s="10">
        <f t="shared" si="3"/>
        <v>11</v>
      </c>
    </row>
    <row r="50" spans="1:13">
      <c r="A50" t="s">
        <v>601</v>
      </c>
      <c r="B50" t="s">
        <v>272</v>
      </c>
      <c r="C50" s="2">
        <v>45744</v>
      </c>
      <c r="D50" s="2">
        <v>45767</v>
      </c>
      <c r="E50" t="s">
        <v>548</v>
      </c>
      <c r="F50" t="s">
        <v>545</v>
      </c>
      <c r="G50" t="s">
        <v>552</v>
      </c>
      <c r="H50">
        <v>30</v>
      </c>
      <c r="I50" t="str">
        <f t="shared" si="0"/>
        <v>Complete</v>
      </c>
      <c r="J50" s="8">
        <f>IF(_xlfn.XLOOKUP(A50,POTracking!$A:$A,POTracking!$D:$D,"")=0,"",_xlfn.XLOOKUP(A50,POTracking!$A:$A,POTracking!$D:$D,""))</f>
        <v>45766</v>
      </c>
      <c r="K50" s="9">
        <f t="shared" si="1"/>
        <v>-1</v>
      </c>
      <c r="L50" t="str">
        <f t="shared" si="2"/>
        <v>On Time/Early</v>
      </c>
      <c r="M50" s="10">
        <f t="shared" si="3"/>
        <v>22</v>
      </c>
    </row>
    <row r="51" spans="1:13">
      <c r="A51" t="s">
        <v>602</v>
      </c>
      <c r="B51" t="s">
        <v>242</v>
      </c>
      <c r="C51" s="2">
        <v>45749</v>
      </c>
      <c r="D51" s="2">
        <v>45776</v>
      </c>
      <c r="E51" t="s">
        <v>548</v>
      </c>
      <c r="F51" t="s">
        <v>545</v>
      </c>
      <c r="G51" t="s">
        <v>552</v>
      </c>
      <c r="H51">
        <v>60</v>
      </c>
      <c r="I51" t="str">
        <f t="shared" si="0"/>
        <v>Complete</v>
      </c>
      <c r="J51" s="8">
        <f>IF(_xlfn.XLOOKUP(A51,POTracking!$A:$A,POTracking!$D:$D,"")=0,"",_xlfn.XLOOKUP(A51,POTracking!$A:$A,POTracking!$D:$D,""))</f>
        <v>45795</v>
      </c>
      <c r="K51" s="9">
        <f t="shared" si="1"/>
        <v>19</v>
      </c>
      <c r="L51" t="str">
        <f t="shared" si="2"/>
        <v>Late</v>
      </c>
      <c r="M51" s="10">
        <f t="shared" si="3"/>
        <v>46</v>
      </c>
    </row>
    <row r="52" spans="1:13">
      <c r="A52" t="s">
        <v>603</v>
      </c>
      <c r="B52" t="s">
        <v>251</v>
      </c>
      <c r="C52" s="2">
        <v>45785</v>
      </c>
      <c r="D52" s="2">
        <v>45793</v>
      </c>
      <c r="E52" t="s">
        <v>558</v>
      </c>
      <c r="F52" t="s">
        <v>545</v>
      </c>
      <c r="G52" t="s">
        <v>556</v>
      </c>
      <c r="H52">
        <v>30</v>
      </c>
      <c r="I52" t="str">
        <f t="shared" si="0"/>
        <v>Monitor</v>
      </c>
      <c r="J52" s="8">
        <f>IF(_xlfn.XLOOKUP(A52,POTracking!$A:$A,POTracking!$D:$D,"")=0,"",_xlfn.XLOOKUP(A52,POTracking!$A:$A,POTracking!$D:$D,""))</f>
        <v>45790</v>
      </c>
      <c r="K52" s="9">
        <f t="shared" si="1"/>
        <v>-3</v>
      </c>
      <c r="L52" t="str">
        <f t="shared" si="2"/>
        <v>On Time/Early</v>
      </c>
      <c r="M52" s="10">
        <f t="shared" si="3"/>
        <v>5</v>
      </c>
    </row>
    <row r="53" spans="1:13">
      <c r="A53" t="s">
        <v>604</v>
      </c>
      <c r="B53" t="s">
        <v>257</v>
      </c>
      <c r="C53" s="2">
        <v>45721</v>
      </c>
      <c r="D53" s="2">
        <v>45753</v>
      </c>
      <c r="E53" t="s">
        <v>558</v>
      </c>
      <c r="F53" t="s">
        <v>545</v>
      </c>
      <c r="G53" t="s">
        <v>546</v>
      </c>
      <c r="H53">
        <v>60</v>
      </c>
      <c r="I53" t="str">
        <f t="shared" si="0"/>
        <v>Monitor</v>
      </c>
      <c r="J53" s="8" t="str">
        <f>IF(_xlfn.XLOOKUP(A53,POTracking!$A:$A,POTracking!$D:$D,"")=0,"",_xlfn.XLOOKUP(A53,POTracking!$A:$A,POTracking!$D:$D,""))</f>
        <v/>
      </c>
      <c r="K53" s="9" t="str">
        <f t="shared" si="1"/>
        <v/>
      </c>
      <c r="L53" t="str">
        <f t="shared" si="2"/>
        <v>Not Yet Received</v>
      </c>
      <c r="M53" s="10" t="str">
        <f t="shared" si="3"/>
        <v/>
      </c>
    </row>
    <row r="54" spans="1:13">
      <c r="A54" t="s">
        <v>605</v>
      </c>
      <c r="B54" t="s">
        <v>266</v>
      </c>
      <c r="C54" s="2">
        <v>45668</v>
      </c>
      <c r="D54" s="2">
        <v>45689</v>
      </c>
      <c r="E54" t="s">
        <v>551</v>
      </c>
      <c r="F54" t="s">
        <v>545</v>
      </c>
      <c r="G54" t="s">
        <v>546</v>
      </c>
      <c r="H54">
        <v>30</v>
      </c>
      <c r="I54" t="str">
        <f t="shared" si="0"/>
        <v>Urgent Follow-Up</v>
      </c>
      <c r="J54" s="8" t="str">
        <f>IF(_xlfn.XLOOKUP(A54,POTracking!$A:$A,POTracking!$D:$D,"")=0,"",_xlfn.XLOOKUP(A54,POTracking!$A:$A,POTracking!$D:$D,""))</f>
        <v/>
      </c>
      <c r="K54" s="9" t="str">
        <f t="shared" si="1"/>
        <v/>
      </c>
      <c r="L54" t="str">
        <f t="shared" si="2"/>
        <v>Not Yet Received</v>
      </c>
      <c r="M54" s="10" t="str">
        <f t="shared" si="3"/>
        <v/>
      </c>
    </row>
    <row r="55" spans="1:13">
      <c r="A55" t="s">
        <v>606</v>
      </c>
      <c r="B55" t="s">
        <v>282</v>
      </c>
      <c r="C55" s="2">
        <v>45821</v>
      </c>
      <c r="D55" s="2">
        <v>45837</v>
      </c>
      <c r="E55" t="s">
        <v>558</v>
      </c>
      <c r="F55" t="s">
        <v>545</v>
      </c>
      <c r="G55" t="s">
        <v>546</v>
      </c>
      <c r="H55">
        <v>60</v>
      </c>
      <c r="I55" t="str">
        <f t="shared" si="0"/>
        <v>Monitor</v>
      </c>
      <c r="J55" s="8">
        <f>IF(_xlfn.XLOOKUP(A55,POTracking!$A:$A,POTracking!$D:$D,"")=0,"",_xlfn.XLOOKUP(A55,POTracking!$A:$A,POTracking!$D:$D,""))</f>
        <v>45828</v>
      </c>
      <c r="K55" s="9">
        <f t="shared" si="1"/>
        <v>-9</v>
      </c>
      <c r="L55" t="str">
        <f t="shared" si="2"/>
        <v>On Time/Early</v>
      </c>
      <c r="M55" s="10">
        <f t="shared" si="3"/>
        <v>7</v>
      </c>
    </row>
    <row r="56" spans="1:13">
      <c r="A56" t="s">
        <v>607</v>
      </c>
      <c r="B56" t="s">
        <v>270</v>
      </c>
      <c r="C56" s="2">
        <v>45741</v>
      </c>
      <c r="D56" s="2">
        <v>45748</v>
      </c>
      <c r="E56" t="s">
        <v>558</v>
      </c>
      <c r="F56" t="s">
        <v>545</v>
      </c>
      <c r="G56" t="s">
        <v>556</v>
      </c>
      <c r="H56">
        <v>45</v>
      </c>
      <c r="I56" t="str">
        <f t="shared" si="0"/>
        <v>Monitor</v>
      </c>
      <c r="J56" s="8">
        <f>IF(_xlfn.XLOOKUP(A56,POTracking!$A:$A,POTracking!$D:$D,"")=0,"",_xlfn.XLOOKUP(A56,POTracking!$A:$A,POTracking!$D:$D,""))</f>
        <v>45757</v>
      </c>
      <c r="K56" s="9">
        <f t="shared" si="1"/>
        <v>9</v>
      </c>
      <c r="L56" t="str">
        <f t="shared" si="2"/>
        <v>Late</v>
      </c>
      <c r="M56" s="10">
        <f t="shared" si="3"/>
        <v>16</v>
      </c>
    </row>
    <row r="57" spans="1:13">
      <c r="A57" t="s">
        <v>608</v>
      </c>
      <c r="B57" t="s">
        <v>236</v>
      </c>
      <c r="C57" s="2">
        <v>45706</v>
      </c>
      <c r="D57" s="2">
        <v>45716</v>
      </c>
      <c r="E57" t="s">
        <v>544</v>
      </c>
      <c r="F57" t="s">
        <v>545</v>
      </c>
      <c r="G57" t="s">
        <v>546</v>
      </c>
      <c r="H57">
        <v>45</v>
      </c>
      <c r="I57" t="str">
        <f t="shared" si="0"/>
        <v>Monitor</v>
      </c>
      <c r="J57" s="8" t="str">
        <f>IF(_xlfn.XLOOKUP(A57,POTracking!$A:$A,POTracking!$D:$D,"")=0,"",_xlfn.XLOOKUP(A57,POTracking!$A:$A,POTracking!$D:$D,""))</f>
        <v/>
      </c>
      <c r="K57" s="9" t="str">
        <f t="shared" si="1"/>
        <v/>
      </c>
      <c r="L57" t="str">
        <f t="shared" si="2"/>
        <v>Not Yet Received</v>
      </c>
      <c r="M57" s="10" t="str">
        <f t="shared" si="3"/>
        <v/>
      </c>
    </row>
    <row r="58" spans="1:13">
      <c r="A58" t="s">
        <v>609</v>
      </c>
      <c r="B58" t="s">
        <v>286</v>
      </c>
      <c r="C58" s="2">
        <v>46003</v>
      </c>
      <c r="D58" s="2">
        <v>46026</v>
      </c>
      <c r="E58" t="s">
        <v>544</v>
      </c>
      <c r="F58" t="s">
        <v>545</v>
      </c>
      <c r="G58" t="s">
        <v>556</v>
      </c>
      <c r="H58">
        <v>30</v>
      </c>
      <c r="I58" t="str">
        <f t="shared" si="0"/>
        <v>Monitor</v>
      </c>
      <c r="J58" s="8" t="str">
        <f>IF(_xlfn.XLOOKUP(A58,POTracking!$A:$A,POTracking!$D:$D,"")=0,"",_xlfn.XLOOKUP(A58,POTracking!$A:$A,POTracking!$D:$D,""))</f>
        <v/>
      </c>
      <c r="K58" s="9" t="str">
        <f t="shared" si="1"/>
        <v/>
      </c>
      <c r="L58" t="str">
        <f t="shared" si="2"/>
        <v>Not Yet Received</v>
      </c>
      <c r="M58" s="10" t="str">
        <f t="shared" si="3"/>
        <v/>
      </c>
    </row>
    <row r="59" spans="1:13">
      <c r="A59" t="s">
        <v>610</v>
      </c>
      <c r="B59" t="s">
        <v>282</v>
      </c>
      <c r="C59" s="2">
        <v>45916</v>
      </c>
      <c r="D59" s="2">
        <v>45930</v>
      </c>
      <c r="E59" t="s">
        <v>548</v>
      </c>
      <c r="F59" t="s">
        <v>545</v>
      </c>
      <c r="G59" t="s">
        <v>556</v>
      </c>
      <c r="H59">
        <v>45</v>
      </c>
      <c r="I59" t="str">
        <f t="shared" si="0"/>
        <v>Complete</v>
      </c>
      <c r="J59" s="8">
        <f>IF(_xlfn.XLOOKUP(A59,POTracking!$A:$A,POTracking!$D:$D,"")=0,"",_xlfn.XLOOKUP(A59,POTracking!$A:$A,POTracking!$D:$D,""))</f>
        <v>45938</v>
      </c>
      <c r="K59" s="9">
        <f t="shared" si="1"/>
        <v>8</v>
      </c>
      <c r="L59" t="str">
        <f t="shared" si="2"/>
        <v>Late</v>
      </c>
      <c r="M59" s="10">
        <f t="shared" si="3"/>
        <v>22</v>
      </c>
    </row>
    <row r="60" spans="1:13">
      <c r="A60" t="s">
        <v>611</v>
      </c>
      <c r="B60" t="s">
        <v>263</v>
      </c>
      <c r="C60" s="2">
        <v>45874</v>
      </c>
      <c r="D60" s="2">
        <v>45876</v>
      </c>
      <c r="E60" t="s">
        <v>548</v>
      </c>
      <c r="F60" t="s">
        <v>545</v>
      </c>
      <c r="G60" t="s">
        <v>552</v>
      </c>
      <c r="H60">
        <v>60</v>
      </c>
      <c r="I60" t="str">
        <f t="shared" si="0"/>
        <v>Complete</v>
      </c>
      <c r="J60" s="8">
        <f>IF(_xlfn.XLOOKUP(A60,POTracking!$A:$A,POTracking!$D:$D,"")=0,"",_xlfn.XLOOKUP(A60,POTracking!$A:$A,POTracking!$D:$D,""))</f>
        <v>45876</v>
      </c>
      <c r="K60" s="9">
        <f t="shared" si="1"/>
        <v>0</v>
      </c>
      <c r="L60" t="str">
        <f t="shared" si="2"/>
        <v>On Time/Early</v>
      </c>
      <c r="M60" s="10">
        <f t="shared" si="3"/>
        <v>2</v>
      </c>
    </row>
    <row r="61" spans="1:13">
      <c r="A61" t="s">
        <v>612</v>
      </c>
      <c r="B61" t="s">
        <v>278</v>
      </c>
      <c r="C61" s="2">
        <v>45905</v>
      </c>
      <c r="D61" s="2">
        <v>45907</v>
      </c>
      <c r="E61" t="s">
        <v>548</v>
      </c>
      <c r="F61" t="s">
        <v>545</v>
      </c>
      <c r="G61" t="s">
        <v>561</v>
      </c>
      <c r="H61">
        <v>60</v>
      </c>
      <c r="I61" t="str">
        <f t="shared" si="0"/>
        <v>Complete</v>
      </c>
      <c r="J61" s="8">
        <f>IF(_xlfn.XLOOKUP(A61,POTracking!$A:$A,POTracking!$D:$D,"")=0,"",_xlfn.XLOOKUP(A61,POTracking!$A:$A,POTracking!$D:$D,""))</f>
        <v>45919</v>
      </c>
      <c r="K61" s="9">
        <f t="shared" si="1"/>
        <v>12</v>
      </c>
      <c r="L61" t="str">
        <f t="shared" si="2"/>
        <v>Late</v>
      </c>
      <c r="M61" s="10">
        <f t="shared" si="3"/>
        <v>14</v>
      </c>
    </row>
    <row r="62" spans="1:13">
      <c r="A62" t="s">
        <v>613</v>
      </c>
      <c r="B62" t="s">
        <v>280</v>
      </c>
      <c r="C62" s="2">
        <v>45737</v>
      </c>
      <c r="D62" s="2">
        <v>45761</v>
      </c>
      <c r="E62" t="s">
        <v>548</v>
      </c>
      <c r="F62" t="s">
        <v>545</v>
      </c>
      <c r="G62" t="s">
        <v>561</v>
      </c>
      <c r="H62">
        <v>30</v>
      </c>
      <c r="I62" t="str">
        <f t="shared" si="0"/>
        <v>Complete</v>
      </c>
      <c r="J62" s="8">
        <f>IF(_xlfn.XLOOKUP(A62,POTracking!$A:$A,POTracking!$D:$D,"")=0,"",_xlfn.XLOOKUP(A62,POTracking!$A:$A,POTracking!$D:$D,""))</f>
        <v>45771</v>
      </c>
      <c r="K62" s="9">
        <f t="shared" si="1"/>
        <v>10</v>
      </c>
      <c r="L62" t="str">
        <f t="shared" si="2"/>
        <v>Late</v>
      </c>
      <c r="M62" s="10">
        <f t="shared" si="3"/>
        <v>34</v>
      </c>
    </row>
    <row r="63" spans="1:13">
      <c r="A63" t="s">
        <v>614</v>
      </c>
      <c r="B63" t="s">
        <v>278</v>
      </c>
      <c r="C63" s="2">
        <v>45823</v>
      </c>
      <c r="D63" s="2">
        <v>45851</v>
      </c>
      <c r="E63" t="s">
        <v>544</v>
      </c>
      <c r="F63" t="s">
        <v>545</v>
      </c>
      <c r="G63" t="s">
        <v>561</v>
      </c>
      <c r="H63">
        <v>30</v>
      </c>
      <c r="I63" t="str">
        <f t="shared" si="0"/>
        <v>Monitor</v>
      </c>
      <c r="J63" s="8" t="str">
        <f>IF(_xlfn.XLOOKUP(A63,POTracking!$A:$A,POTracking!$D:$D,"")=0,"",_xlfn.XLOOKUP(A63,POTracking!$A:$A,POTracking!$D:$D,""))</f>
        <v/>
      </c>
      <c r="K63" s="9" t="str">
        <f t="shared" si="1"/>
        <v/>
      </c>
      <c r="L63" t="str">
        <f t="shared" si="2"/>
        <v>Not Yet Received</v>
      </c>
      <c r="M63" s="10" t="str">
        <f t="shared" si="3"/>
        <v/>
      </c>
    </row>
    <row r="64" spans="1:13">
      <c r="A64" t="s">
        <v>615</v>
      </c>
      <c r="B64" t="s">
        <v>282</v>
      </c>
      <c r="C64" s="2">
        <v>45686</v>
      </c>
      <c r="D64" s="2">
        <v>45692</v>
      </c>
      <c r="E64" t="s">
        <v>548</v>
      </c>
      <c r="F64" t="s">
        <v>545</v>
      </c>
      <c r="G64" t="s">
        <v>556</v>
      </c>
      <c r="H64">
        <v>60</v>
      </c>
      <c r="I64" t="str">
        <f t="shared" si="0"/>
        <v>Complete</v>
      </c>
      <c r="J64" s="8">
        <f>IF(_xlfn.XLOOKUP(A64,POTracking!$A:$A,POTracking!$D:$D,"")=0,"",_xlfn.XLOOKUP(A64,POTracking!$A:$A,POTracking!$D:$D,""))</f>
        <v>45696</v>
      </c>
      <c r="K64" s="9">
        <f t="shared" si="1"/>
        <v>4</v>
      </c>
      <c r="L64" t="str">
        <f t="shared" si="2"/>
        <v>Late</v>
      </c>
      <c r="M64" s="10">
        <f t="shared" si="3"/>
        <v>10</v>
      </c>
    </row>
    <row r="65" spans="1:13">
      <c r="A65" t="s">
        <v>616</v>
      </c>
      <c r="B65" t="s">
        <v>261</v>
      </c>
      <c r="C65" s="2">
        <v>45715</v>
      </c>
      <c r="D65" s="2">
        <v>45732</v>
      </c>
      <c r="E65" t="s">
        <v>548</v>
      </c>
      <c r="F65" t="s">
        <v>545</v>
      </c>
      <c r="G65" t="s">
        <v>546</v>
      </c>
      <c r="H65">
        <v>30</v>
      </c>
      <c r="I65" t="str">
        <f t="shared" si="0"/>
        <v>Complete</v>
      </c>
      <c r="J65" s="8">
        <f>IF(_xlfn.XLOOKUP(A65,POTracking!$A:$A,POTracking!$D:$D,"")=0,"",_xlfn.XLOOKUP(A65,POTracking!$A:$A,POTracking!$D:$D,""))</f>
        <v>45738</v>
      </c>
      <c r="K65" s="9">
        <f t="shared" si="1"/>
        <v>6</v>
      </c>
      <c r="L65" t="str">
        <f t="shared" si="2"/>
        <v>Late</v>
      </c>
      <c r="M65" s="10">
        <f t="shared" si="3"/>
        <v>23</v>
      </c>
    </row>
    <row r="66" spans="1:13">
      <c r="A66" t="s">
        <v>617</v>
      </c>
      <c r="B66" t="s">
        <v>282</v>
      </c>
      <c r="C66" s="2">
        <v>45810</v>
      </c>
      <c r="D66" s="2">
        <v>45815</v>
      </c>
      <c r="E66" t="s">
        <v>548</v>
      </c>
      <c r="F66" t="s">
        <v>545</v>
      </c>
      <c r="G66" t="s">
        <v>556</v>
      </c>
      <c r="H66">
        <v>45</v>
      </c>
      <c r="I66" t="str">
        <f t="shared" si="0"/>
        <v>Complete</v>
      </c>
      <c r="J66" s="8">
        <f>IF(_xlfn.XLOOKUP(A66,POTracking!$A:$A,POTracking!$D:$D,"")=0,"",_xlfn.XLOOKUP(A66,POTracking!$A:$A,POTracking!$D:$D,""))</f>
        <v>45805</v>
      </c>
      <c r="K66" s="9">
        <f t="shared" si="1"/>
        <v>-10</v>
      </c>
      <c r="L66" t="str">
        <f t="shared" si="2"/>
        <v>On Time/Early</v>
      </c>
      <c r="M66" s="10">
        <f t="shared" si="3"/>
        <v>-5</v>
      </c>
    </row>
    <row r="67" spans="1:13">
      <c r="A67" t="s">
        <v>618</v>
      </c>
      <c r="B67" t="s">
        <v>261</v>
      </c>
      <c r="C67" s="2">
        <v>45807</v>
      </c>
      <c r="D67" s="2">
        <v>45823</v>
      </c>
      <c r="E67" t="s">
        <v>558</v>
      </c>
      <c r="F67" t="s">
        <v>545</v>
      </c>
      <c r="G67" t="s">
        <v>549</v>
      </c>
      <c r="H67">
        <v>30</v>
      </c>
      <c r="I67" t="str">
        <f t="shared" ref="I67:I130" si="4">IF(TRIM(E67)="Overdue","Urgent Follow-Up",IF(TRIM(E67)="Received","Complete",IF(OR(TRIM(E67)="Open",TRIM(E67)="Partially Received"),"Monitor","Check Status")))</f>
        <v>Monitor</v>
      </c>
      <c r="J67" s="8">
        <f>IF(_xlfn.XLOOKUP(A67,POTracking!$A:$A,POTracking!$D:$D,"")=0,"",_xlfn.XLOOKUP(A67,POTracking!$A:$A,POTracking!$D:$D,""))</f>
        <v>45830</v>
      </c>
      <c r="K67" s="9">
        <f t="shared" ref="K67:K130" si="5">IF(J67="","",J67-D67)</f>
        <v>7</v>
      </c>
      <c r="L67" t="str">
        <f t="shared" ref="L67:L130" si="6">IF(J67="","Not Yet Received",IF(K67&lt;=0,"On Time/Early","Late"))</f>
        <v>Late</v>
      </c>
      <c r="M67" s="10">
        <f t="shared" ref="M67:M130" si="7">IF(J67="","",J67-C67)</f>
        <v>23</v>
      </c>
    </row>
    <row r="68" spans="1:13">
      <c r="A68" t="s">
        <v>619</v>
      </c>
      <c r="B68" t="s">
        <v>272</v>
      </c>
      <c r="C68" s="2">
        <v>45762</v>
      </c>
      <c r="D68" s="2">
        <v>45766</v>
      </c>
      <c r="E68" t="s">
        <v>551</v>
      </c>
      <c r="F68" t="s">
        <v>545</v>
      </c>
      <c r="G68" t="s">
        <v>546</v>
      </c>
      <c r="H68">
        <v>45</v>
      </c>
      <c r="I68" t="str">
        <f t="shared" si="4"/>
        <v>Urgent Follow-Up</v>
      </c>
      <c r="J68" s="8" t="str">
        <f>IF(_xlfn.XLOOKUP(A68,POTracking!$A:$A,POTracking!$D:$D,"")=0,"",_xlfn.XLOOKUP(A68,POTracking!$A:$A,POTracking!$D:$D,""))</f>
        <v/>
      </c>
      <c r="K68" s="9" t="str">
        <f t="shared" si="5"/>
        <v/>
      </c>
      <c r="L68" t="str">
        <f t="shared" si="6"/>
        <v>Not Yet Received</v>
      </c>
      <c r="M68" s="10" t="str">
        <f t="shared" si="7"/>
        <v/>
      </c>
    </row>
    <row r="69" spans="1:13">
      <c r="A69" t="s">
        <v>620</v>
      </c>
      <c r="B69" t="s">
        <v>286</v>
      </c>
      <c r="C69" s="2">
        <v>45681</v>
      </c>
      <c r="D69" s="2">
        <v>45708</v>
      </c>
      <c r="E69" t="s">
        <v>551</v>
      </c>
      <c r="F69" t="s">
        <v>545</v>
      </c>
      <c r="G69" t="s">
        <v>561</v>
      </c>
      <c r="H69">
        <v>60</v>
      </c>
      <c r="I69" t="str">
        <f t="shared" si="4"/>
        <v>Urgent Follow-Up</v>
      </c>
      <c r="J69" s="8" t="str">
        <f>IF(_xlfn.XLOOKUP(A69,POTracking!$A:$A,POTracking!$D:$D,"")=0,"",_xlfn.XLOOKUP(A69,POTracking!$A:$A,POTracking!$D:$D,""))</f>
        <v/>
      </c>
      <c r="K69" s="9" t="str">
        <f t="shared" si="5"/>
        <v/>
      </c>
      <c r="L69" t="str">
        <f t="shared" si="6"/>
        <v>Not Yet Received</v>
      </c>
      <c r="M69" s="10" t="str">
        <f t="shared" si="7"/>
        <v/>
      </c>
    </row>
    <row r="70" spans="1:13">
      <c r="A70" t="s">
        <v>621</v>
      </c>
      <c r="B70" t="s">
        <v>282</v>
      </c>
      <c r="C70" s="2">
        <v>45924</v>
      </c>
      <c r="D70" s="2">
        <v>45941</v>
      </c>
      <c r="E70" t="s">
        <v>548</v>
      </c>
      <c r="F70" t="s">
        <v>545</v>
      </c>
      <c r="G70" t="s">
        <v>556</v>
      </c>
      <c r="H70">
        <v>60</v>
      </c>
      <c r="I70" t="str">
        <f t="shared" si="4"/>
        <v>Complete</v>
      </c>
      <c r="J70" s="8">
        <f>IF(_xlfn.XLOOKUP(A70,POTracking!$A:$A,POTracking!$D:$D,"")=0,"",_xlfn.XLOOKUP(A70,POTracking!$A:$A,POTracking!$D:$D,""))</f>
        <v>45939</v>
      </c>
      <c r="K70" s="9">
        <f t="shared" si="5"/>
        <v>-2</v>
      </c>
      <c r="L70" t="str">
        <f t="shared" si="6"/>
        <v>On Time/Early</v>
      </c>
      <c r="M70" s="10">
        <f t="shared" si="7"/>
        <v>15</v>
      </c>
    </row>
    <row r="71" spans="1:13">
      <c r="A71" t="s">
        <v>622</v>
      </c>
      <c r="B71" t="s">
        <v>276</v>
      </c>
      <c r="C71" s="2">
        <v>45835</v>
      </c>
      <c r="D71" s="2">
        <v>45860</v>
      </c>
      <c r="E71" t="s">
        <v>551</v>
      </c>
      <c r="F71" t="s">
        <v>545</v>
      </c>
      <c r="G71" t="s">
        <v>546</v>
      </c>
      <c r="H71">
        <v>60</v>
      </c>
      <c r="I71" t="str">
        <f t="shared" si="4"/>
        <v>Urgent Follow-Up</v>
      </c>
      <c r="J71" s="8" t="str">
        <f>IF(_xlfn.XLOOKUP(A71,POTracking!$A:$A,POTracking!$D:$D,"")=0,"",_xlfn.XLOOKUP(A71,POTracking!$A:$A,POTracking!$D:$D,""))</f>
        <v/>
      </c>
      <c r="K71" s="9" t="str">
        <f t="shared" si="5"/>
        <v/>
      </c>
      <c r="L71" t="str">
        <f t="shared" si="6"/>
        <v>Not Yet Received</v>
      </c>
      <c r="M71" s="10" t="str">
        <f t="shared" si="7"/>
        <v/>
      </c>
    </row>
    <row r="72" spans="1:13">
      <c r="A72" t="s">
        <v>623</v>
      </c>
      <c r="B72" t="s">
        <v>278</v>
      </c>
      <c r="C72" s="2">
        <v>45736</v>
      </c>
      <c r="D72" s="2">
        <v>45764</v>
      </c>
      <c r="E72" t="s">
        <v>551</v>
      </c>
      <c r="F72" t="s">
        <v>545</v>
      </c>
      <c r="G72" t="s">
        <v>549</v>
      </c>
      <c r="H72">
        <v>45</v>
      </c>
      <c r="I72" t="str">
        <f t="shared" si="4"/>
        <v>Urgent Follow-Up</v>
      </c>
      <c r="J72" s="8" t="str">
        <f>IF(_xlfn.XLOOKUP(A72,POTracking!$A:$A,POTracking!$D:$D,"")=0,"",_xlfn.XLOOKUP(A72,POTracking!$A:$A,POTracking!$D:$D,""))</f>
        <v/>
      </c>
      <c r="K72" s="9" t="str">
        <f t="shared" si="5"/>
        <v/>
      </c>
      <c r="L72" t="str">
        <f t="shared" si="6"/>
        <v>Not Yet Received</v>
      </c>
      <c r="M72" s="10" t="str">
        <f t="shared" si="7"/>
        <v/>
      </c>
    </row>
    <row r="73" spans="1:13">
      <c r="A73" t="s">
        <v>624</v>
      </c>
      <c r="B73" t="s">
        <v>286</v>
      </c>
      <c r="C73" s="2">
        <v>45658</v>
      </c>
      <c r="D73" s="2">
        <v>45685</v>
      </c>
      <c r="E73" t="s">
        <v>548</v>
      </c>
      <c r="F73" t="s">
        <v>545</v>
      </c>
      <c r="G73" t="s">
        <v>549</v>
      </c>
      <c r="H73">
        <v>30</v>
      </c>
      <c r="I73" t="str">
        <f t="shared" si="4"/>
        <v>Complete</v>
      </c>
      <c r="J73" s="8">
        <f>IF(_xlfn.XLOOKUP(A73,POTracking!$A:$A,POTracking!$D:$D,"")=0,"",_xlfn.XLOOKUP(A73,POTracking!$A:$A,POTracking!$D:$D,""))</f>
        <v>45673</v>
      </c>
      <c r="K73" s="9">
        <f t="shared" si="5"/>
        <v>-12</v>
      </c>
      <c r="L73" t="str">
        <f t="shared" si="6"/>
        <v>On Time/Early</v>
      </c>
      <c r="M73" s="10">
        <f t="shared" si="7"/>
        <v>15</v>
      </c>
    </row>
    <row r="74" spans="1:13">
      <c r="A74" t="s">
        <v>625</v>
      </c>
      <c r="B74" t="s">
        <v>259</v>
      </c>
      <c r="C74" s="2">
        <v>45740</v>
      </c>
      <c r="D74" s="2">
        <v>45764</v>
      </c>
      <c r="E74" t="s">
        <v>548</v>
      </c>
      <c r="F74" t="s">
        <v>545</v>
      </c>
      <c r="G74" t="s">
        <v>552</v>
      </c>
      <c r="H74">
        <v>30</v>
      </c>
      <c r="I74" t="str">
        <f t="shared" si="4"/>
        <v>Complete</v>
      </c>
      <c r="J74" s="8">
        <f>IF(_xlfn.XLOOKUP(A74,POTracking!$A:$A,POTracking!$D:$D,"")=0,"",_xlfn.XLOOKUP(A74,POTracking!$A:$A,POTracking!$D:$D,""))</f>
        <v>45756</v>
      </c>
      <c r="K74" s="9">
        <f t="shared" si="5"/>
        <v>-8</v>
      </c>
      <c r="L74" t="str">
        <f t="shared" si="6"/>
        <v>On Time/Early</v>
      </c>
      <c r="M74" s="10">
        <f t="shared" si="7"/>
        <v>16</v>
      </c>
    </row>
    <row r="75" spans="1:13">
      <c r="A75" t="s">
        <v>626</v>
      </c>
      <c r="B75" t="s">
        <v>278</v>
      </c>
      <c r="C75" s="2">
        <v>45837</v>
      </c>
      <c r="D75" s="2">
        <v>45840</v>
      </c>
      <c r="E75" t="s">
        <v>548</v>
      </c>
      <c r="F75" t="s">
        <v>545</v>
      </c>
      <c r="G75" t="s">
        <v>556</v>
      </c>
      <c r="H75">
        <v>45</v>
      </c>
      <c r="I75" t="str">
        <f t="shared" si="4"/>
        <v>Complete</v>
      </c>
      <c r="J75" s="8">
        <f>IF(_xlfn.XLOOKUP(A75,POTracking!$A:$A,POTracking!$D:$D,"")=0,"",_xlfn.XLOOKUP(A75,POTracking!$A:$A,POTracking!$D:$D,""))</f>
        <v>45826</v>
      </c>
      <c r="K75" s="9">
        <f t="shared" si="5"/>
        <v>-14</v>
      </c>
      <c r="L75" t="str">
        <f t="shared" si="6"/>
        <v>On Time/Early</v>
      </c>
      <c r="M75" s="10">
        <f t="shared" si="7"/>
        <v>-11</v>
      </c>
    </row>
    <row r="76" spans="1:13">
      <c r="A76" t="s">
        <v>627</v>
      </c>
      <c r="B76" t="s">
        <v>278</v>
      </c>
      <c r="C76" s="2">
        <v>45957</v>
      </c>
      <c r="D76" s="2">
        <v>45967</v>
      </c>
      <c r="E76" t="s">
        <v>548</v>
      </c>
      <c r="F76" t="s">
        <v>545</v>
      </c>
      <c r="G76" t="s">
        <v>561</v>
      </c>
      <c r="H76">
        <v>30</v>
      </c>
      <c r="I76" t="str">
        <f t="shared" si="4"/>
        <v>Complete</v>
      </c>
      <c r="J76" s="8">
        <f>IF(_xlfn.XLOOKUP(A76,POTracking!$A:$A,POTracking!$D:$D,"")=0,"",_xlfn.XLOOKUP(A76,POTracking!$A:$A,POTracking!$D:$D,""))</f>
        <v>45970</v>
      </c>
      <c r="K76" s="9">
        <f t="shared" si="5"/>
        <v>3</v>
      </c>
      <c r="L76" t="str">
        <f t="shared" si="6"/>
        <v>Late</v>
      </c>
      <c r="M76" s="10">
        <f t="shared" si="7"/>
        <v>13</v>
      </c>
    </row>
    <row r="77" spans="1:13">
      <c r="A77" t="s">
        <v>628</v>
      </c>
      <c r="B77" t="s">
        <v>263</v>
      </c>
      <c r="C77" s="2">
        <v>45716</v>
      </c>
      <c r="D77" s="2">
        <v>45742</v>
      </c>
      <c r="E77" t="s">
        <v>551</v>
      </c>
      <c r="F77" t="s">
        <v>545</v>
      </c>
      <c r="G77" t="s">
        <v>556</v>
      </c>
      <c r="H77">
        <v>60</v>
      </c>
      <c r="I77" t="str">
        <f t="shared" si="4"/>
        <v>Urgent Follow-Up</v>
      </c>
      <c r="J77" s="8" t="str">
        <f>IF(_xlfn.XLOOKUP(A77,POTracking!$A:$A,POTracking!$D:$D,"")=0,"",_xlfn.XLOOKUP(A77,POTracking!$A:$A,POTracking!$D:$D,""))</f>
        <v/>
      </c>
      <c r="K77" s="9" t="str">
        <f t="shared" si="5"/>
        <v/>
      </c>
      <c r="L77" t="str">
        <f t="shared" si="6"/>
        <v>Not Yet Received</v>
      </c>
      <c r="M77" s="10" t="str">
        <f t="shared" si="7"/>
        <v/>
      </c>
    </row>
    <row r="78" spans="1:13">
      <c r="A78" t="s">
        <v>629</v>
      </c>
      <c r="B78" t="s">
        <v>276</v>
      </c>
      <c r="C78" s="2">
        <v>45868</v>
      </c>
      <c r="D78" s="2">
        <v>45893</v>
      </c>
      <c r="E78" t="s">
        <v>544</v>
      </c>
      <c r="F78" t="s">
        <v>545</v>
      </c>
      <c r="G78" t="s">
        <v>549</v>
      </c>
      <c r="H78">
        <v>60</v>
      </c>
      <c r="I78" t="str">
        <f t="shared" si="4"/>
        <v>Monitor</v>
      </c>
      <c r="J78" s="8" t="str">
        <f>IF(_xlfn.XLOOKUP(A78,POTracking!$A:$A,POTracking!$D:$D,"")=0,"",_xlfn.XLOOKUP(A78,POTracking!$A:$A,POTracking!$D:$D,""))</f>
        <v/>
      </c>
      <c r="K78" s="9" t="str">
        <f t="shared" si="5"/>
        <v/>
      </c>
      <c r="L78" t="str">
        <f t="shared" si="6"/>
        <v>Not Yet Received</v>
      </c>
      <c r="M78" s="10" t="str">
        <f t="shared" si="7"/>
        <v/>
      </c>
    </row>
    <row r="79" spans="1:13">
      <c r="A79" t="s">
        <v>630</v>
      </c>
      <c r="B79" t="s">
        <v>274</v>
      </c>
      <c r="C79" s="2">
        <v>45731</v>
      </c>
      <c r="D79" s="2">
        <v>45738</v>
      </c>
      <c r="E79" t="s">
        <v>558</v>
      </c>
      <c r="F79" t="s">
        <v>545</v>
      </c>
      <c r="G79" t="s">
        <v>561</v>
      </c>
      <c r="H79">
        <v>30</v>
      </c>
      <c r="I79" t="str">
        <f t="shared" si="4"/>
        <v>Monitor</v>
      </c>
      <c r="J79" s="8">
        <f>IF(_xlfn.XLOOKUP(A79,POTracking!$A:$A,POTracking!$D:$D,"")=0,"",_xlfn.XLOOKUP(A79,POTracking!$A:$A,POTracking!$D:$D,""))</f>
        <v>45720</v>
      </c>
      <c r="K79" s="9">
        <f t="shared" si="5"/>
        <v>-18</v>
      </c>
      <c r="L79" t="str">
        <f t="shared" si="6"/>
        <v>On Time/Early</v>
      </c>
      <c r="M79" s="10">
        <f t="shared" si="7"/>
        <v>-11</v>
      </c>
    </row>
    <row r="80" spans="1:13">
      <c r="A80" t="s">
        <v>631</v>
      </c>
      <c r="B80" t="s">
        <v>280</v>
      </c>
      <c r="C80" s="2">
        <v>45771</v>
      </c>
      <c r="D80" s="2">
        <v>45795</v>
      </c>
      <c r="E80" t="s">
        <v>548</v>
      </c>
      <c r="F80" t="s">
        <v>545</v>
      </c>
      <c r="G80" t="s">
        <v>549</v>
      </c>
      <c r="H80">
        <v>45</v>
      </c>
      <c r="I80" t="str">
        <f t="shared" si="4"/>
        <v>Complete</v>
      </c>
      <c r="J80" s="8">
        <f>IF(_xlfn.XLOOKUP(A80,POTracking!$A:$A,POTracking!$D:$D,"")=0,"",_xlfn.XLOOKUP(A80,POTracking!$A:$A,POTracking!$D:$D,""))</f>
        <v>45803</v>
      </c>
      <c r="K80" s="9">
        <f t="shared" si="5"/>
        <v>8</v>
      </c>
      <c r="L80" t="str">
        <f t="shared" si="6"/>
        <v>Late</v>
      </c>
      <c r="M80" s="10">
        <f t="shared" si="7"/>
        <v>32</v>
      </c>
    </row>
    <row r="81" spans="1:13">
      <c r="A81" t="s">
        <v>632</v>
      </c>
      <c r="B81" t="s">
        <v>270</v>
      </c>
      <c r="C81" s="2">
        <v>45888</v>
      </c>
      <c r="D81" s="2">
        <v>45898</v>
      </c>
      <c r="E81" t="s">
        <v>548</v>
      </c>
      <c r="F81" t="s">
        <v>545</v>
      </c>
      <c r="G81" t="s">
        <v>556</v>
      </c>
      <c r="H81">
        <v>45</v>
      </c>
      <c r="I81" t="str">
        <f t="shared" si="4"/>
        <v>Complete</v>
      </c>
      <c r="J81" s="8">
        <f>IF(_xlfn.XLOOKUP(A81,POTracking!$A:$A,POTracking!$D:$D,"")=0,"",_xlfn.XLOOKUP(A81,POTracking!$A:$A,POTracking!$D:$D,""))</f>
        <v>45895</v>
      </c>
      <c r="K81" s="9">
        <f t="shared" si="5"/>
        <v>-3</v>
      </c>
      <c r="L81" t="str">
        <f t="shared" si="6"/>
        <v>On Time/Early</v>
      </c>
      <c r="M81" s="10">
        <f t="shared" si="7"/>
        <v>7</v>
      </c>
    </row>
    <row r="82" spans="1:13">
      <c r="A82" t="s">
        <v>633</v>
      </c>
      <c r="B82" t="s">
        <v>286</v>
      </c>
      <c r="C82" s="2">
        <v>45912</v>
      </c>
      <c r="D82" s="2">
        <v>45914</v>
      </c>
      <c r="E82" t="s">
        <v>544</v>
      </c>
      <c r="F82" t="s">
        <v>545</v>
      </c>
      <c r="G82" t="s">
        <v>561</v>
      </c>
      <c r="H82">
        <v>45</v>
      </c>
      <c r="I82" t="str">
        <f t="shared" si="4"/>
        <v>Monitor</v>
      </c>
      <c r="J82" s="8" t="str">
        <f>IF(_xlfn.XLOOKUP(A82,POTracking!$A:$A,POTracking!$D:$D,"")=0,"",_xlfn.XLOOKUP(A82,POTracking!$A:$A,POTracking!$D:$D,""))</f>
        <v/>
      </c>
      <c r="K82" s="9" t="str">
        <f t="shared" si="5"/>
        <v/>
      </c>
      <c r="L82" t="str">
        <f t="shared" si="6"/>
        <v>Not Yet Received</v>
      </c>
      <c r="M82" s="10" t="str">
        <f t="shared" si="7"/>
        <v/>
      </c>
    </row>
    <row r="83" spans="1:13">
      <c r="A83" t="s">
        <v>634</v>
      </c>
      <c r="B83" t="s">
        <v>255</v>
      </c>
      <c r="C83" s="2">
        <v>45709</v>
      </c>
      <c r="D83" s="2">
        <v>45719</v>
      </c>
      <c r="E83" t="s">
        <v>558</v>
      </c>
      <c r="F83" t="s">
        <v>545</v>
      </c>
      <c r="G83" t="s">
        <v>552</v>
      </c>
      <c r="H83">
        <v>30</v>
      </c>
      <c r="I83" t="str">
        <f t="shared" si="4"/>
        <v>Monitor</v>
      </c>
      <c r="J83" s="8">
        <f>IF(_xlfn.XLOOKUP(A83,POTracking!$A:$A,POTracking!$D:$D,"")=0,"",_xlfn.XLOOKUP(A83,POTracking!$A:$A,POTracking!$D:$D,""))</f>
        <v>45724</v>
      </c>
      <c r="K83" s="9">
        <f t="shared" si="5"/>
        <v>5</v>
      </c>
      <c r="L83" t="str">
        <f t="shared" si="6"/>
        <v>Late</v>
      </c>
      <c r="M83" s="10">
        <f t="shared" si="7"/>
        <v>15</v>
      </c>
    </row>
    <row r="84" spans="1:13">
      <c r="A84" t="s">
        <v>635</v>
      </c>
      <c r="B84" t="s">
        <v>261</v>
      </c>
      <c r="C84" s="2">
        <v>45686</v>
      </c>
      <c r="D84" s="2">
        <v>45702</v>
      </c>
      <c r="E84" t="s">
        <v>548</v>
      </c>
      <c r="F84" t="s">
        <v>545</v>
      </c>
      <c r="G84" t="s">
        <v>561</v>
      </c>
      <c r="H84">
        <v>45</v>
      </c>
      <c r="I84" t="str">
        <f t="shared" si="4"/>
        <v>Complete</v>
      </c>
      <c r="J84" s="8">
        <f>IF(_xlfn.XLOOKUP(A84,POTracking!$A:$A,POTracking!$D:$D,"")=0,"",_xlfn.XLOOKUP(A84,POTracking!$A:$A,POTracking!$D:$D,""))</f>
        <v>45712</v>
      </c>
      <c r="K84" s="9">
        <f t="shared" si="5"/>
        <v>10</v>
      </c>
      <c r="L84" t="str">
        <f t="shared" si="6"/>
        <v>Late</v>
      </c>
      <c r="M84" s="10">
        <f t="shared" si="7"/>
        <v>26</v>
      </c>
    </row>
    <row r="85" spans="1:13">
      <c r="A85" t="s">
        <v>636</v>
      </c>
      <c r="B85" t="s">
        <v>263</v>
      </c>
      <c r="C85" s="2">
        <v>45725</v>
      </c>
      <c r="D85" s="2">
        <v>45727</v>
      </c>
      <c r="E85" t="s">
        <v>548</v>
      </c>
      <c r="F85" t="s">
        <v>545</v>
      </c>
      <c r="G85" t="s">
        <v>556</v>
      </c>
      <c r="H85">
        <v>45</v>
      </c>
      <c r="I85" t="str">
        <f t="shared" si="4"/>
        <v>Complete</v>
      </c>
      <c r="J85" s="8">
        <f>IF(_xlfn.XLOOKUP(A85,POTracking!$A:$A,POTracking!$D:$D,"")=0,"",_xlfn.XLOOKUP(A85,POTracking!$A:$A,POTracking!$D:$D,""))</f>
        <v>45730</v>
      </c>
      <c r="K85" s="9">
        <f t="shared" si="5"/>
        <v>3</v>
      </c>
      <c r="L85" t="str">
        <f t="shared" si="6"/>
        <v>Late</v>
      </c>
      <c r="M85" s="10">
        <f t="shared" si="7"/>
        <v>5</v>
      </c>
    </row>
    <row r="86" spans="1:13">
      <c r="A86" t="s">
        <v>637</v>
      </c>
      <c r="B86" t="s">
        <v>259</v>
      </c>
      <c r="C86" s="2">
        <v>45763</v>
      </c>
      <c r="D86" s="2">
        <v>45787</v>
      </c>
      <c r="E86" t="s">
        <v>558</v>
      </c>
      <c r="F86" t="s">
        <v>545</v>
      </c>
      <c r="G86" t="s">
        <v>561</v>
      </c>
      <c r="H86">
        <v>45</v>
      </c>
      <c r="I86" t="str">
        <f t="shared" si="4"/>
        <v>Monitor</v>
      </c>
      <c r="J86" s="8">
        <f>IF(_xlfn.XLOOKUP(A86,POTracking!$A:$A,POTracking!$D:$D,"")=0,"",_xlfn.XLOOKUP(A86,POTracking!$A:$A,POTracking!$D:$D,""))</f>
        <v>45782</v>
      </c>
      <c r="K86" s="9">
        <f t="shared" si="5"/>
        <v>-5</v>
      </c>
      <c r="L86" t="str">
        <f t="shared" si="6"/>
        <v>On Time/Early</v>
      </c>
      <c r="M86" s="10">
        <f t="shared" si="7"/>
        <v>19</v>
      </c>
    </row>
    <row r="87" spans="1:13">
      <c r="A87" t="s">
        <v>638</v>
      </c>
      <c r="B87" t="s">
        <v>257</v>
      </c>
      <c r="C87" s="2">
        <v>45660</v>
      </c>
      <c r="D87" s="2">
        <v>45672</v>
      </c>
      <c r="E87" t="s">
        <v>548</v>
      </c>
      <c r="F87" t="s">
        <v>545</v>
      </c>
      <c r="G87" t="s">
        <v>561</v>
      </c>
      <c r="H87">
        <v>45</v>
      </c>
      <c r="I87" t="str">
        <f t="shared" si="4"/>
        <v>Complete</v>
      </c>
      <c r="J87" s="8">
        <f>IF(_xlfn.XLOOKUP(A87,POTracking!$A:$A,POTracking!$D:$D,"")=0,"",_xlfn.XLOOKUP(A87,POTracking!$A:$A,POTracking!$D:$D,""))</f>
        <v>45671</v>
      </c>
      <c r="K87" s="9">
        <f t="shared" si="5"/>
        <v>-1</v>
      </c>
      <c r="L87" t="str">
        <f t="shared" si="6"/>
        <v>On Time/Early</v>
      </c>
      <c r="M87" s="10">
        <f t="shared" si="7"/>
        <v>11</v>
      </c>
    </row>
    <row r="88" spans="1:13">
      <c r="A88" t="s">
        <v>639</v>
      </c>
      <c r="B88" t="s">
        <v>247</v>
      </c>
      <c r="C88" s="2">
        <v>45668</v>
      </c>
      <c r="D88" s="2">
        <v>45706</v>
      </c>
      <c r="E88" t="s">
        <v>558</v>
      </c>
      <c r="F88" t="s">
        <v>545</v>
      </c>
      <c r="G88" t="s">
        <v>552</v>
      </c>
      <c r="H88">
        <v>45</v>
      </c>
      <c r="I88" t="str">
        <f t="shared" si="4"/>
        <v>Monitor</v>
      </c>
      <c r="J88" s="8" t="str">
        <f>IF(_xlfn.XLOOKUP(A88,POTracking!$A:$A,POTracking!$D:$D,"")=0,"",_xlfn.XLOOKUP(A88,POTracking!$A:$A,POTracking!$D:$D,""))</f>
        <v/>
      </c>
      <c r="K88" s="9" t="str">
        <f t="shared" si="5"/>
        <v/>
      </c>
      <c r="L88" t="str">
        <f t="shared" si="6"/>
        <v>Not Yet Received</v>
      </c>
      <c r="M88" s="10" t="str">
        <f t="shared" si="7"/>
        <v/>
      </c>
    </row>
    <row r="89" spans="1:13">
      <c r="A89" t="s">
        <v>640</v>
      </c>
      <c r="B89" t="s">
        <v>263</v>
      </c>
      <c r="C89" s="2">
        <v>45912</v>
      </c>
      <c r="D89" s="2">
        <v>45921</v>
      </c>
      <c r="E89" t="s">
        <v>548</v>
      </c>
      <c r="F89" t="s">
        <v>545</v>
      </c>
      <c r="G89" t="s">
        <v>561</v>
      </c>
      <c r="H89">
        <v>60</v>
      </c>
      <c r="I89" t="str">
        <f t="shared" si="4"/>
        <v>Complete</v>
      </c>
      <c r="J89" s="8">
        <f>IF(_xlfn.XLOOKUP(A89,POTracking!$A:$A,POTracking!$D:$D,"")=0,"",_xlfn.XLOOKUP(A89,POTracking!$A:$A,POTracking!$D:$D,""))</f>
        <v>45928</v>
      </c>
      <c r="K89" s="9">
        <f t="shared" si="5"/>
        <v>7</v>
      </c>
      <c r="L89" t="str">
        <f t="shared" si="6"/>
        <v>Late</v>
      </c>
      <c r="M89" s="10">
        <f t="shared" si="7"/>
        <v>16</v>
      </c>
    </row>
    <row r="90" spans="1:13">
      <c r="A90" t="s">
        <v>641</v>
      </c>
      <c r="B90" t="s">
        <v>278</v>
      </c>
      <c r="C90" s="2">
        <v>45938</v>
      </c>
      <c r="D90" s="2">
        <v>45961</v>
      </c>
      <c r="E90" t="s">
        <v>548</v>
      </c>
      <c r="F90" t="s">
        <v>545</v>
      </c>
      <c r="G90" t="s">
        <v>556</v>
      </c>
      <c r="H90">
        <v>60</v>
      </c>
      <c r="I90" t="str">
        <f t="shared" si="4"/>
        <v>Complete</v>
      </c>
      <c r="J90" s="8">
        <f>IF(_xlfn.XLOOKUP(A90,POTracking!$A:$A,POTracking!$D:$D,"")=0,"",_xlfn.XLOOKUP(A90,POTracking!$A:$A,POTracking!$D:$D,""))</f>
        <v>45959</v>
      </c>
      <c r="K90" s="9">
        <f t="shared" si="5"/>
        <v>-2</v>
      </c>
      <c r="L90" t="str">
        <f t="shared" si="6"/>
        <v>On Time/Early</v>
      </c>
      <c r="M90" s="10">
        <f t="shared" si="7"/>
        <v>21</v>
      </c>
    </row>
    <row r="91" spans="1:13">
      <c r="A91" t="s">
        <v>642</v>
      </c>
      <c r="B91" t="s">
        <v>236</v>
      </c>
      <c r="C91" s="2">
        <v>45827</v>
      </c>
      <c r="D91" s="2">
        <v>45840</v>
      </c>
      <c r="E91" t="s">
        <v>548</v>
      </c>
      <c r="F91" t="s">
        <v>545</v>
      </c>
      <c r="G91" t="s">
        <v>546</v>
      </c>
      <c r="H91">
        <v>30</v>
      </c>
      <c r="I91" t="str">
        <f t="shared" si="4"/>
        <v>Complete</v>
      </c>
      <c r="J91" s="8">
        <f>IF(_xlfn.XLOOKUP(A91,POTracking!$A:$A,POTracking!$D:$D,"")=0,"",_xlfn.XLOOKUP(A91,POTracking!$A:$A,POTracking!$D:$D,""))</f>
        <v>45843</v>
      </c>
      <c r="K91" s="9">
        <f t="shared" si="5"/>
        <v>3</v>
      </c>
      <c r="L91" t="str">
        <f t="shared" si="6"/>
        <v>Late</v>
      </c>
      <c r="M91" s="10">
        <f t="shared" si="7"/>
        <v>16</v>
      </c>
    </row>
    <row r="92" spans="1:13">
      <c r="A92" t="s">
        <v>643</v>
      </c>
      <c r="B92" t="s">
        <v>286</v>
      </c>
      <c r="C92" s="2">
        <v>45936</v>
      </c>
      <c r="D92" s="2">
        <v>45945</v>
      </c>
      <c r="E92" t="s">
        <v>548</v>
      </c>
      <c r="F92" t="s">
        <v>545</v>
      </c>
      <c r="G92" t="s">
        <v>552</v>
      </c>
      <c r="H92">
        <v>30</v>
      </c>
      <c r="I92" t="str">
        <f t="shared" si="4"/>
        <v>Complete</v>
      </c>
      <c r="J92" s="8">
        <f>IF(_xlfn.XLOOKUP(A92,POTracking!$A:$A,POTracking!$D:$D,"")=0,"",_xlfn.XLOOKUP(A92,POTracking!$A:$A,POTracking!$D:$D,""))</f>
        <v>45942</v>
      </c>
      <c r="K92" s="9">
        <f t="shared" si="5"/>
        <v>-3</v>
      </c>
      <c r="L92" t="str">
        <f t="shared" si="6"/>
        <v>On Time/Early</v>
      </c>
      <c r="M92" s="10">
        <f t="shared" si="7"/>
        <v>6</v>
      </c>
    </row>
    <row r="93" spans="1:13">
      <c r="A93" t="s">
        <v>644</v>
      </c>
      <c r="B93" t="s">
        <v>280</v>
      </c>
      <c r="C93" s="2">
        <v>45926</v>
      </c>
      <c r="D93" s="2">
        <v>45938</v>
      </c>
      <c r="E93" t="s">
        <v>548</v>
      </c>
      <c r="F93" t="s">
        <v>545</v>
      </c>
      <c r="G93" t="s">
        <v>546</v>
      </c>
      <c r="H93">
        <v>45</v>
      </c>
      <c r="I93" t="str">
        <f t="shared" si="4"/>
        <v>Complete</v>
      </c>
      <c r="J93" s="8">
        <f>IF(_xlfn.XLOOKUP(A93,POTracking!$A:$A,POTracking!$D:$D,"")=0,"",_xlfn.XLOOKUP(A93,POTracking!$A:$A,POTracking!$D:$D,""))</f>
        <v>45934</v>
      </c>
      <c r="K93" s="9">
        <f t="shared" si="5"/>
        <v>-4</v>
      </c>
      <c r="L93" t="str">
        <f t="shared" si="6"/>
        <v>On Time/Early</v>
      </c>
      <c r="M93" s="10">
        <f t="shared" si="7"/>
        <v>8</v>
      </c>
    </row>
    <row r="94" spans="1:13">
      <c r="A94" t="s">
        <v>645</v>
      </c>
      <c r="B94" t="s">
        <v>251</v>
      </c>
      <c r="C94" s="2">
        <v>45801</v>
      </c>
      <c r="D94" s="2">
        <v>45825</v>
      </c>
      <c r="E94" t="s">
        <v>558</v>
      </c>
      <c r="F94" t="s">
        <v>545</v>
      </c>
      <c r="G94" t="s">
        <v>561</v>
      </c>
      <c r="H94">
        <v>30</v>
      </c>
      <c r="I94" t="str">
        <f t="shared" si="4"/>
        <v>Monitor</v>
      </c>
      <c r="J94" s="8" t="str">
        <f>IF(_xlfn.XLOOKUP(A94,POTracking!$A:$A,POTracking!$D:$D,"")=0,"",_xlfn.XLOOKUP(A94,POTracking!$A:$A,POTracking!$D:$D,""))</f>
        <v/>
      </c>
      <c r="K94" s="9" t="str">
        <f t="shared" si="5"/>
        <v/>
      </c>
      <c r="L94" t="str">
        <f t="shared" si="6"/>
        <v>Not Yet Received</v>
      </c>
      <c r="M94" s="10" t="str">
        <f t="shared" si="7"/>
        <v/>
      </c>
    </row>
    <row r="95" spans="1:13">
      <c r="A95" t="s">
        <v>646</v>
      </c>
      <c r="B95" t="s">
        <v>255</v>
      </c>
      <c r="C95" s="2">
        <v>45763</v>
      </c>
      <c r="D95" s="2">
        <v>45787</v>
      </c>
      <c r="E95" t="s">
        <v>548</v>
      </c>
      <c r="F95" t="s">
        <v>545</v>
      </c>
      <c r="G95" t="s">
        <v>552</v>
      </c>
      <c r="H95">
        <v>45</v>
      </c>
      <c r="I95" t="str">
        <f t="shared" si="4"/>
        <v>Complete</v>
      </c>
      <c r="J95" s="8">
        <f>IF(_xlfn.XLOOKUP(A95,POTracking!$A:$A,POTracking!$D:$D,"")=0,"",_xlfn.XLOOKUP(A95,POTracking!$A:$A,POTracking!$D:$D,""))</f>
        <v>45779</v>
      </c>
      <c r="K95" s="9">
        <f t="shared" si="5"/>
        <v>-8</v>
      </c>
      <c r="L95" t="str">
        <f t="shared" si="6"/>
        <v>On Time/Early</v>
      </c>
      <c r="M95" s="10">
        <f t="shared" si="7"/>
        <v>16</v>
      </c>
    </row>
    <row r="96" spans="1:13">
      <c r="A96" t="s">
        <v>647</v>
      </c>
      <c r="B96" t="s">
        <v>280</v>
      </c>
      <c r="C96" s="2">
        <v>45683</v>
      </c>
      <c r="D96" s="2">
        <v>45698</v>
      </c>
      <c r="E96" t="s">
        <v>558</v>
      </c>
      <c r="F96" t="s">
        <v>545</v>
      </c>
      <c r="G96" t="s">
        <v>546</v>
      </c>
      <c r="H96">
        <v>60</v>
      </c>
      <c r="I96" t="str">
        <f t="shared" si="4"/>
        <v>Monitor</v>
      </c>
      <c r="J96" s="8" t="str">
        <f>IF(_xlfn.XLOOKUP(A96,POTracking!$A:$A,POTracking!$D:$D,"")=0,"",_xlfn.XLOOKUP(A96,POTracking!$A:$A,POTracking!$D:$D,""))</f>
        <v/>
      </c>
      <c r="K96" s="9" t="str">
        <f t="shared" si="5"/>
        <v/>
      </c>
      <c r="L96" t="str">
        <f t="shared" si="6"/>
        <v>Not Yet Received</v>
      </c>
      <c r="M96" s="10" t="str">
        <f t="shared" si="7"/>
        <v/>
      </c>
    </row>
    <row r="97" spans="1:13">
      <c r="A97" t="s">
        <v>648</v>
      </c>
      <c r="B97" t="s">
        <v>286</v>
      </c>
      <c r="C97" s="2">
        <v>45890</v>
      </c>
      <c r="D97" s="2">
        <v>45913</v>
      </c>
      <c r="E97" t="s">
        <v>548</v>
      </c>
      <c r="F97" t="s">
        <v>545</v>
      </c>
      <c r="G97" t="s">
        <v>549</v>
      </c>
      <c r="H97">
        <v>45</v>
      </c>
      <c r="I97" t="str">
        <f t="shared" si="4"/>
        <v>Complete</v>
      </c>
      <c r="J97" s="8">
        <f>IF(_xlfn.XLOOKUP(A97,POTracking!$A:$A,POTracking!$D:$D,"")=0,"",_xlfn.XLOOKUP(A97,POTracking!$A:$A,POTracking!$D:$D,""))</f>
        <v>45913</v>
      </c>
      <c r="K97" s="9">
        <f t="shared" si="5"/>
        <v>0</v>
      </c>
      <c r="L97" t="str">
        <f t="shared" si="6"/>
        <v>On Time/Early</v>
      </c>
      <c r="M97" s="10">
        <f t="shared" si="7"/>
        <v>23</v>
      </c>
    </row>
    <row r="98" spans="1:13">
      <c r="A98" t="s">
        <v>649</v>
      </c>
      <c r="B98" t="s">
        <v>242</v>
      </c>
      <c r="C98" s="2">
        <v>45843</v>
      </c>
      <c r="D98" s="2">
        <v>45855</v>
      </c>
      <c r="E98" t="s">
        <v>558</v>
      </c>
      <c r="F98" t="s">
        <v>545</v>
      </c>
      <c r="G98" t="s">
        <v>561</v>
      </c>
      <c r="H98">
        <v>60</v>
      </c>
      <c r="I98" t="str">
        <f t="shared" si="4"/>
        <v>Monitor</v>
      </c>
      <c r="J98" s="8">
        <f>IF(_xlfn.XLOOKUP(A98,POTracking!$A:$A,POTracking!$D:$D,"")=0,"",_xlfn.XLOOKUP(A98,POTracking!$A:$A,POTracking!$D:$D,""))</f>
        <v>45854</v>
      </c>
      <c r="K98" s="9">
        <f t="shared" si="5"/>
        <v>-1</v>
      </c>
      <c r="L98" t="str">
        <f t="shared" si="6"/>
        <v>On Time/Early</v>
      </c>
      <c r="M98" s="10">
        <f t="shared" si="7"/>
        <v>11</v>
      </c>
    </row>
    <row r="99" spans="1:13">
      <c r="A99" t="s">
        <v>650</v>
      </c>
      <c r="B99" t="s">
        <v>259</v>
      </c>
      <c r="C99" s="2">
        <v>45980</v>
      </c>
      <c r="D99" s="2">
        <v>45987</v>
      </c>
      <c r="E99" t="s">
        <v>548</v>
      </c>
      <c r="F99" t="s">
        <v>545</v>
      </c>
      <c r="G99" t="s">
        <v>561</v>
      </c>
      <c r="H99">
        <v>60</v>
      </c>
      <c r="I99" t="str">
        <f t="shared" si="4"/>
        <v>Complete</v>
      </c>
      <c r="J99" s="8">
        <f>IF(_xlfn.XLOOKUP(A99,POTracking!$A:$A,POTracking!$D:$D,"")=0,"",_xlfn.XLOOKUP(A99,POTracking!$A:$A,POTracking!$D:$D,""))</f>
        <v>45987</v>
      </c>
      <c r="K99" s="9">
        <f t="shared" si="5"/>
        <v>0</v>
      </c>
      <c r="L99" t="str">
        <f t="shared" si="6"/>
        <v>On Time/Early</v>
      </c>
      <c r="M99" s="10">
        <f t="shared" si="7"/>
        <v>7</v>
      </c>
    </row>
    <row r="100" spans="1:13">
      <c r="A100" t="s">
        <v>651</v>
      </c>
      <c r="B100" t="s">
        <v>268</v>
      </c>
      <c r="C100" s="2">
        <v>45669</v>
      </c>
      <c r="D100" s="2">
        <v>45680</v>
      </c>
      <c r="E100" t="s">
        <v>548</v>
      </c>
      <c r="F100" t="s">
        <v>545</v>
      </c>
      <c r="G100" t="s">
        <v>549</v>
      </c>
      <c r="H100">
        <v>60</v>
      </c>
      <c r="I100" t="str">
        <f t="shared" si="4"/>
        <v>Complete</v>
      </c>
      <c r="J100" s="8">
        <f>IF(_xlfn.XLOOKUP(A100,POTracking!$A:$A,POTracking!$D:$D,"")=0,"",_xlfn.XLOOKUP(A100,POTracking!$A:$A,POTracking!$D:$D,""))</f>
        <v>45680</v>
      </c>
      <c r="K100" s="9">
        <f t="shared" si="5"/>
        <v>0</v>
      </c>
      <c r="L100" t="str">
        <f t="shared" si="6"/>
        <v>On Time/Early</v>
      </c>
      <c r="M100" s="10">
        <f t="shared" si="7"/>
        <v>11</v>
      </c>
    </row>
    <row r="101" spans="1:13">
      <c r="A101" t="s">
        <v>652</v>
      </c>
      <c r="B101" t="s">
        <v>280</v>
      </c>
      <c r="C101" s="2">
        <v>45800</v>
      </c>
      <c r="D101" s="2">
        <v>45824</v>
      </c>
      <c r="E101" t="s">
        <v>558</v>
      </c>
      <c r="F101" t="s">
        <v>545</v>
      </c>
      <c r="G101" t="s">
        <v>556</v>
      </c>
      <c r="H101">
        <v>30</v>
      </c>
      <c r="I101" t="str">
        <f t="shared" si="4"/>
        <v>Monitor</v>
      </c>
      <c r="J101" s="8">
        <f>IF(_xlfn.XLOOKUP(A101,POTracking!$A:$A,POTracking!$D:$D,"")=0,"",_xlfn.XLOOKUP(A101,POTracking!$A:$A,POTracking!$D:$D,""))</f>
        <v>45823</v>
      </c>
      <c r="K101" s="9">
        <f t="shared" si="5"/>
        <v>-1</v>
      </c>
      <c r="L101" t="str">
        <f t="shared" si="6"/>
        <v>On Time/Early</v>
      </c>
      <c r="M101" s="10">
        <f t="shared" si="7"/>
        <v>23</v>
      </c>
    </row>
    <row r="102" spans="1:13">
      <c r="A102" t="s">
        <v>653</v>
      </c>
      <c r="B102" t="s">
        <v>255</v>
      </c>
      <c r="C102" s="2">
        <v>45688</v>
      </c>
      <c r="D102" s="2">
        <v>45712</v>
      </c>
      <c r="E102" t="s">
        <v>558</v>
      </c>
      <c r="F102" t="s">
        <v>545</v>
      </c>
      <c r="G102" t="s">
        <v>552</v>
      </c>
      <c r="H102">
        <v>30</v>
      </c>
      <c r="I102" t="str">
        <f t="shared" si="4"/>
        <v>Monitor</v>
      </c>
      <c r="J102" s="8">
        <f>IF(_xlfn.XLOOKUP(A102,POTracking!$A:$A,POTracking!$D:$D,"")=0,"",_xlfn.XLOOKUP(A102,POTracking!$A:$A,POTracking!$D:$D,""))</f>
        <v>45715</v>
      </c>
      <c r="K102" s="9">
        <f t="shared" si="5"/>
        <v>3</v>
      </c>
      <c r="L102" t="str">
        <f t="shared" si="6"/>
        <v>Late</v>
      </c>
      <c r="M102" s="10">
        <f t="shared" si="7"/>
        <v>27</v>
      </c>
    </row>
    <row r="103" spans="1:13">
      <c r="A103" t="s">
        <v>654</v>
      </c>
      <c r="B103" t="s">
        <v>266</v>
      </c>
      <c r="C103" s="2">
        <v>45685</v>
      </c>
      <c r="D103" s="2">
        <v>45687</v>
      </c>
      <c r="E103" t="s">
        <v>548</v>
      </c>
      <c r="F103" t="s">
        <v>545</v>
      </c>
      <c r="G103" t="s">
        <v>556</v>
      </c>
      <c r="H103">
        <v>60</v>
      </c>
      <c r="I103" t="str">
        <f t="shared" si="4"/>
        <v>Complete</v>
      </c>
      <c r="J103" s="8">
        <f>IF(_xlfn.XLOOKUP(A103,POTracking!$A:$A,POTracking!$D:$D,"")=0,"",_xlfn.XLOOKUP(A103,POTracking!$A:$A,POTracking!$D:$D,""))</f>
        <v>45682</v>
      </c>
      <c r="K103" s="9">
        <f t="shared" si="5"/>
        <v>-5</v>
      </c>
      <c r="L103" t="str">
        <f t="shared" si="6"/>
        <v>On Time/Early</v>
      </c>
      <c r="M103" s="10">
        <f t="shared" si="7"/>
        <v>-3</v>
      </c>
    </row>
    <row r="104" spans="1:13">
      <c r="A104" t="s">
        <v>655</v>
      </c>
      <c r="B104" t="s">
        <v>247</v>
      </c>
      <c r="C104" s="2">
        <v>45905</v>
      </c>
      <c r="D104" s="2">
        <v>45943</v>
      </c>
      <c r="E104" t="s">
        <v>558</v>
      </c>
      <c r="F104" t="s">
        <v>545</v>
      </c>
      <c r="G104" t="s">
        <v>552</v>
      </c>
      <c r="H104">
        <v>30</v>
      </c>
      <c r="I104" t="str">
        <f t="shared" si="4"/>
        <v>Monitor</v>
      </c>
      <c r="J104" s="8" t="str">
        <f>IF(_xlfn.XLOOKUP(A104,POTracking!$A:$A,POTracking!$D:$D,"")=0,"",_xlfn.XLOOKUP(A104,POTracking!$A:$A,POTracking!$D:$D,""))</f>
        <v/>
      </c>
      <c r="K104" s="9" t="str">
        <f t="shared" si="5"/>
        <v/>
      </c>
      <c r="L104" t="str">
        <f t="shared" si="6"/>
        <v>Not Yet Received</v>
      </c>
      <c r="M104" s="10" t="str">
        <f t="shared" si="7"/>
        <v/>
      </c>
    </row>
    <row r="105" spans="1:13">
      <c r="A105" t="s">
        <v>656</v>
      </c>
      <c r="B105" t="s">
        <v>247</v>
      </c>
      <c r="C105" s="2">
        <v>45873</v>
      </c>
      <c r="D105" s="2">
        <v>45911</v>
      </c>
      <c r="E105" t="s">
        <v>548</v>
      </c>
      <c r="F105" t="s">
        <v>545</v>
      </c>
      <c r="G105" t="s">
        <v>552</v>
      </c>
      <c r="H105">
        <v>45</v>
      </c>
      <c r="I105" t="str">
        <f t="shared" si="4"/>
        <v>Complete</v>
      </c>
      <c r="J105" s="8">
        <f>IF(_xlfn.XLOOKUP(A105,POTracking!$A:$A,POTracking!$D:$D,"")=0,"",_xlfn.XLOOKUP(A105,POTracking!$A:$A,POTracking!$D:$D,""))</f>
        <v>45917</v>
      </c>
      <c r="K105" s="9">
        <f t="shared" si="5"/>
        <v>6</v>
      </c>
      <c r="L105" t="str">
        <f t="shared" si="6"/>
        <v>Late</v>
      </c>
      <c r="M105" s="10">
        <f t="shared" si="7"/>
        <v>44</v>
      </c>
    </row>
    <row r="106" spans="1:13">
      <c r="A106" t="s">
        <v>657</v>
      </c>
      <c r="B106" t="s">
        <v>236</v>
      </c>
      <c r="C106" s="2">
        <v>46006</v>
      </c>
      <c r="D106" s="2">
        <v>46016</v>
      </c>
      <c r="E106" t="s">
        <v>548</v>
      </c>
      <c r="F106" t="s">
        <v>545</v>
      </c>
      <c r="G106" t="s">
        <v>556</v>
      </c>
      <c r="H106">
        <v>30</v>
      </c>
      <c r="I106" t="str">
        <f t="shared" si="4"/>
        <v>Complete</v>
      </c>
      <c r="J106" s="8">
        <f>IF(_xlfn.XLOOKUP(A106,POTracking!$A:$A,POTracking!$D:$D,"")=0,"",_xlfn.XLOOKUP(A106,POTracking!$A:$A,POTracking!$D:$D,""))</f>
        <v>46017</v>
      </c>
      <c r="K106" s="9">
        <f t="shared" si="5"/>
        <v>1</v>
      </c>
      <c r="L106" t="str">
        <f t="shared" si="6"/>
        <v>Late</v>
      </c>
      <c r="M106" s="10">
        <f t="shared" si="7"/>
        <v>11</v>
      </c>
    </row>
    <row r="107" spans="1:13">
      <c r="A107" t="s">
        <v>658</v>
      </c>
      <c r="B107" t="s">
        <v>251</v>
      </c>
      <c r="C107" s="2">
        <v>45826</v>
      </c>
      <c r="D107" s="2">
        <v>45850</v>
      </c>
      <c r="E107" t="s">
        <v>544</v>
      </c>
      <c r="F107" t="s">
        <v>545</v>
      </c>
      <c r="G107" t="s">
        <v>546</v>
      </c>
      <c r="H107">
        <v>30</v>
      </c>
      <c r="I107" t="str">
        <f t="shared" si="4"/>
        <v>Monitor</v>
      </c>
      <c r="J107" s="8" t="str">
        <f>IF(_xlfn.XLOOKUP(A107,POTracking!$A:$A,POTracking!$D:$D,"")=0,"",_xlfn.XLOOKUP(A107,POTracking!$A:$A,POTracking!$D:$D,""))</f>
        <v/>
      </c>
      <c r="K107" s="9" t="str">
        <f t="shared" si="5"/>
        <v/>
      </c>
      <c r="L107" t="str">
        <f t="shared" si="6"/>
        <v>Not Yet Received</v>
      </c>
      <c r="M107" s="10" t="str">
        <f t="shared" si="7"/>
        <v/>
      </c>
    </row>
    <row r="108" spans="1:13">
      <c r="A108" t="s">
        <v>659</v>
      </c>
      <c r="B108" t="s">
        <v>259</v>
      </c>
      <c r="C108" s="2">
        <v>45948</v>
      </c>
      <c r="D108" s="2">
        <v>45960</v>
      </c>
      <c r="E108" t="s">
        <v>548</v>
      </c>
      <c r="F108" t="s">
        <v>545</v>
      </c>
      <c r="G108" t="s">
        <v>546</v>
      </c>
      <c r="H108">
        <v>30</v>
      </c>
      <c r="I108" t="str">
        <f t="shared" si="4"/>
        <v>Complete</v>
      </c>
      <c r="J108" s="8">
        <f>IF(_xlfn.XLOOKUP(A108,POTracking!$A:$A,POTracking!$D:$D,"")=0,"",_xlfn.XLOOKUP(A108,POTracking!$A:$A,POTracking!$D:$D,""))</f>
        <v>45951</v>
      </c>
      <c r="K108" s="9">
        <f t="shared" si="5"/>
        <v>-9</v>
      </c>
      <c r="L108" t="str">
        <f t="shared" si="6"/>
        <v>On Time/Early</v>
      </c>
      <c r="M108" s="10">
        <f t="shared" si="7"/>
        <v>3</v>
      </c>
    </row>
    <row r="109" spans="1:13">
      <c r="A109" t="s">
        <v>660</v>
      </c>
      <c r="B109" t="s">
        <v>259</v>
      </c>
      <c r="C109" s="2">
        <v>45761</v>
      </c>
      <c r="D109" s="2">
        <v>45789</v>
      </c>
      <c r="E109" t="s">
        <v>558</v>
      </c>
      <c r="F109" t="s">
        <v>545</v>
      </c>
      <c r="G109" t="s">
        <v>549</v>
      </c>
      <c r="H109">
        <v>45</v>
      </c>
      <c r="I109" t="str">
        <f t="shared" si="4"/>
        <v>Monitor</v>
      </c>
      <c r="J109" s="8" t="str">
        <f>IF(_xlfn.XLOOKUP(A109,POTracking!$A:$A,POTracking!$D:$D,"")=0,"",_xlfn.XLOOKUP(A109,POTracking!$A:$A,POTracking!$D:$D,""))</f>
        <v/>
      </c>
      <c r="K109" s="9" t="str">
        <f t="shared" si="5"/>
        <v/>
      </c>
      <c r="L109" t="str">
        <f t="shared" si="6"/>
        <v>Not Yet Received</v>
      </c>
      <c r="M109" s="10" t="str">
        <f t="shared" si="7"/>
        <v/>
      </c>
    </row>
    <row r="110" spans="1:13">
      <c r="A110" t="s">
        <v>661</v>
      </c>
      <c r="B110" t="s">
        <v>263</v>
      </c>
      <c r="C110" s="2">
        <v>45913</v>
      </c>
      <c r="D110" s="2">
        <v>45915</v>
      </c>
      <c r="E110" t="s">
        <v>558</v>
      </c>
      <c r="F110" t="s">
        <v>545</v>
      </c>
      <c r="G110" t="s">
        <v>561</v>
      </c>
      <c r="H110">
        <v>45</v>
      </c>
      <c r="I110" t="str">
        <f t="shared" si="4"/>
        <v>Monitor</v>
      </c>
      <c r="J110" s="8">
        <f>IF(_xlfn.XLOOKUP(A110,POTracking!$A:$A,POTracking!$D:$D,"")=0,"",_xlfn.XLOOKUP(A110,POTracking!$A:$A,POTracking!$D:$D,""))</f>
        <v>45919</v>
      </c>
      <c r="K110" s="9">
        <f t="shared" si="5"/>
        <v>4</v>
      </c>
      <c r="L110" t="str">
        <f t="shared" si="6"/>
        <v>Late</v>
      </c>
      <c r="M110" s="10">
        <f t="shared" si="7"/>
        <v>6</v>
      </c>
    </row>
    <row r="111" spans="1:13">
      <c r="A111" t="s">
        <v>662</v>
      </c>
      <c r="B111" t="s">
        <v>247</v>
      </c>
      <c r="C111" s="2">
        <v>45672</v>
      </c>
      <c r="D111" s="2">
        <v>45682</v>
      </c>
      <c r="E111" t="s">
        <v>548</v>
      </c>
      <c r="F111" t="s">
        <v>545</v>
      </c>
      <c r="G111" t="s">
        <v>556</v>
      </c>
      <c r="H111">
        <v>30</v>
      </c>
      <c r="I111" t="str">
        <f t="shared" si="4"/>
        <v>Complete</v>
      </c>
      <c r="J111" s="8">
        <f>IF(_xlfn.XLOOKUP(A111,POTracking!$A:$A,POTracking!$D:$D,"")=0,"",_xlfn.XLOOKUP(A111,POTracking!$A:$A,POTracking!$D:$D,""))</f>
        <v>45677</v>
      </c>
      <c r="K111" s="9">
        <f t="shared" si="5"/>
        <v>-5</v>
      </c>
      <c r="L111" t="str">
        <f t="shared" si="6"/>
        <v>On Time/Early</v>
      </c>
      <c r="M111" s="10">
        <f t="shared" si="7"/>
        <v>5</v>
      </c>
    </row>
    <row r="112" spans="1:13">
      <c r="A112" t="s">
        <v>663</v>
      </c>
      <c r="B112" t="s">
        <v>282</v>
      </c>
      <c r="C112" s="2">
        <v>45717</v>
      </c>
      <c r="D112" s="2">
        <v>45723</v>
      </c>
      <c r="E112" t="s">
        <v>548</v>
      </c>
      <c r="F112" t="s">
        <v>545</v>
      </c>
      <c r="G112" t="s">
        <v>556</v>
      </c>
      <c r="H112">
        <v>30</v>
      </c>
      <c r="I112" t="str">
        <f t="shared" si="4"/>
        <v>Complete</v>
      </c>
      <c r="J112" s="8">
        <f>IF(_xlfn.XLOOKUP(A112,POTracking!$A:$A,POTracking!$D:$D,"")=0,"",_xlfn.XLOOKUP(A112,POTracking!$A:$A,POTracking!$D:$D,""))</f>
        <v>45716</v>
      </c>
      <c r="K112" s="9">
        <f t="shared" si="5"/>
        <v>-7</v>
      </c>
      <c r="L112" t="str">
        <f t="shared" si="6"/>
        <v>On Time/Early</v>
      </c>
      <c r="M112" s="10">
        <f t="shared" si="7"/>
        <v>-1</v>
      </c>
    </row>
    <row r="113" spans="1:13">
      <c r="A113" t="s">
        <v>664</v>
      </c>
      <c r="B113" t="s">
        <v>282</v>
      </c>
      <c r="C113" s="2">
        <v>45946</v>
      </c>
      <c r="D113" s="2">
        <v>45969</v>
      </c>
      <c r="E113" t="s">
        <v>548</v>
      </c>
      <c r="F113" t="s">
        <v>545</v>
      </c>
      <c r="G113" t="s">
        <v>552</v>
      </c>
      <c r="H113">
        <v>45</v>
      </c>
      <c r="I113" t="str">
        <f t="shared" si="4"/>
        <v>Complete</v>
      </c>
      <c r="J113" s="8">
        <f>IF(_xlfn.XLOOKUP(A113,POTracking!$A:$A,POTracking!$D:$D,"")=0,"",_xlfn.XLOOKUP(A113,POTracking!$A:$A,POTracking!$D:$D,""))</f>
        <v>45955</v>
      </c>
      <c r="K113" s="9">
        <f t="shared" si="5"/>
        <v>-14</v>
      </c>
      <c r="L113" t="str">
        <f t="shared" si="6"/>
        <v>On Time/Early</v>
      </c>
      <c r="M113" s="10">
        <f t="shared" si="7"/>
        <v>9</v>
      </c>
    </row>
    <row r="114" spans="1:13">
      <c r="A114" t="s">
        <v>665</v>
      </c>
      <c r="B114" t="s">
        <v>272</v>
      </c>
      <c r="C114" s="2">
        <v>45734</v>
      </c>
      <c r="D114" s="2">
        <v>45755</v>
      </c>
      <c r="E114" t="s">
        <v>548</v>
      </c>
      <c r="F114" t="s">
        <v>545</v>
      </c>
      <c r="G114" t="s">
        <v>556</v>
      </c>
      <c r="H114">
        <v>30</v>
      </c>
      <c r="I114" t="str">
        <f t="shared" si="4"/>
        <v>Complete</v>
      </c>
      <c r="J114" s="8">
        <f>IF(_xlfn.XLOOKUP(A114,POTracking!$A:$A,POTracking!$D:$D,"")=0,"",_xlfn.XLOOKUP(A114,POTracking!$A:$A,POTracking!$D:$D,""))</f>
        <v>45754</v>
      </c>
      <c r="K114" s="9">
        <f t="shared" si="5"/>
        <v>-1</v>
      </c>
      <c r="L114" t="str">
        <f t="shared" si="6"/>
        <v>On Time/Early</v>
      </c>
      <c r="M114" s="10">
        <f t="shared" si="7"/>
        <v>20</v>
      </c>
    </row>
    <row r="115" spans="1:13">
      <c r="A115" t="s">
        <v>666</v>
      </c>
      <c r="B115" t="s">
        <v>236</v>
      </c>
      <c r="C115" s="2">
        <v>45674</v>
      </c>
      <c r="D115" s="2">
        <v>45676</v>
      </c>
      <c r="E115" t="s">
        <v>548</v>
      </c>
      <c r="F115" t="s">
        <v>545</v>
      </c>
      <c r="G115" t="s">
        <v>549</v>
      </c>
      <c r="H115">
        <v>45</v>
      </c>
      <c r="I115" t="str">
        <f t="shared" si="4"/>
        <v>Complete</v>
      </c>
      <c r="J115" s="8">
        <f>IF(_xlfn.XLOOKUP(A115,POTracking!$A:$A,POTracking!$D:$D,"")=0,"",_xlfn.XLOOKUP(A115,POTracking!$A:$A,POTracking!$D:$D,""))</f>
        <v>45676</v>
      </c>
      <c r="K115" s="9">
        <f t="shared" si="5"/>
        <v>0</v>
      </c>
      <c r="L115" t="str">
        <f t="shared" si="6"/>
        <v>On Time/Early</v>
      </c>
      <c r="M115" s="10">
        <f t="shared" si="7"/>
        <v>2</v>
      </c>
    </row>
    <row r="116" spans="1:13">
      <c r="A116" t="s">
        <v>667</v>
      </c>
      <c r="B116" t="s">
        <v>263</v>
      </c>
      <c r="C116" s="2">
        <v>46004</v>
      </c>
      <c r="D116" s="2">
        <v>46020</v>
      </c>
      <c r="E116" t="s">
        <v>544</v>
      </c>
      <c r="F116" t="s">
        <v>545</v>
      </c>
      <c r="G116" t="s">
        <v>561</v>
      </c>
      <c r="H116">
        <v>60</v>
      </c>
      <c r="I116" t="str">
        <f t="shared" si="4"/>
        <v>Monitor</v>
      </c>
      <c r="J116" s="8" t="str">
        <f>IF(_xlfn.XLOOKUP(A116,POTracking!$A:$A,POTracking!$D:$D,"")=0,"",_xlfn.XLOOKUP(A116,POTracking!$A:$A,POTracking!$D:$D,""))</f>
        <v/>
      </c>
      <c r="K116" s="9" t="str">
        <f t="shared" si="5"/>
        <v/>
      </c>
      <c r="L116" t="str">
        <f t="shared" si="6"/>
        <v>Not Yet Received</v>
      </c>
      <c r="M116" s="10" t="str">
        <f t="shared" si="7"/>
        <v/>
      </c>
    </row>
    <row r="117" spans="1:13">
      <c r="A117" t="s">
        <v>668</v>
      </c>
      <c r="B117" t="s">
        <v>284</v>
      </c>
      <c r="C117" s="2">
        <v>45898</v>
      </c>
      <c r="D117" s="2">
        <v>45907</v>
      </c>
      <c r="E117" t="s">
        <v>544</v>
      </c>
      <c r="F117" t="s">
        <v>545</v>
      </c>
      <c r="G117" t="s">
        <v>561</v>
      </c>
      <c r="H117">
        <v>45</v>
      </c>
      <c r="I117" t="str">
        <f t="shared" si="4"/>
        <v>Monitor</v>
      </c>
      <c r="J117" s="8" t="str">
        <f>IF(_xlfn.XLOOKUP(A117,POTracking!$A:$A,POTracking!$D:$D,"")=0,"",_xlfn.XLOOKUP(A117,POTracking!$A:$A,POTracking!$D:$D,""))</f>
        <v/>
      </c>
      <c r="K117" s="9" t="str">
        <f t="shared" si="5"/>
        <v/>
      </c>
      <c r="L117" t="str">
        <f t="shared" si="6"/>
        <v>Not Yet Received</v>
      </c>
      <c r="M117" s="10" t="str">
        <f t="shared" si="7"/>
        <v/>
      </c>
    </row>
    <row r="118" spans="1:13">
      <c r="A118" t="s">
        <v>669</v>
      </c>
      <c r="B118" t="s">
        <v>247</v>
      </c>
      <c r="C118" s="2">
        <v>45794</v>
      </c>
      <c r="D118" s="2">
        <v>45826</v>
      </c>
      <c r="E118" t="s">
        <v>548</v>
      </c>
      <c r="F118" t="s">
        <v>545</v>
      </c>
      <c r="G118" t="s">
        <v>561</v>
      </c>
      <c r="H118">
        <v>30</v>
      </c>
      <c r="I118" t="str">
        <f t="shared" si="4"/>
        <v>Complete</v>
      </c>
      <c r="J118" s="8">
        <f>IF(_xlfn.XLOOKUP(A118,POTracking!$A:$A,POTracking!$D:$D,"")=0,"",_xlfn.XLOOKUP(A118,POTracking!$A:$A,POTracking!$D:$D,""))</f>
        <v>45826</v>
      </c>
      <c r="K118" s="9">
        <f t="shared" si="5"/>
        <v>0</v>
      </c>
      <c r="L118" t="str">
        <f t="shared" si="6"/>
        <v>On Time/Early</v>
      </c>
      <c r="M118" s="10">
        <f t="shared" si="7"/>
        <v>32</v>
      </c>
    </row>
    <row r="119" spans="1:13">
      <c r="A119" t="s">
        <v>670</v>
      </c>
      <c r="B119" t="s">
        <v>272</v>
      </c>
      <c r="C119" s="2">
        <v>45894</v>
      </c>
      <c r="D119" s="2">
        <v>45921</v>
      </c>
      <c r="E119" t="s">
        <v>558</v>
      </c>
      <c r="F119" t="s">
        <v>545</v>
      </c>
      <c r="G119" t="s">
        <v>556</v>
      </c>
      <c r="H119">
        <v>60</v>
      </c>
      <c r="I119" t="str">
        <f t="shared" si="4"/>
        <v>Monitor</v>
      </c>
      <c r="J119" s="8" t="str">
        <f>IF(_xlfn.XLOOKUP(A119,POTracking!$A:$A,POTracking!$D:$D,"")=0,"",_xlfn.XLOOKUP(A119,POTracking!$A:$A,POTracking!$D:$D,""))</f>
        <v/>
      </c>
      <c r="K119" s="9" t="str">
        <f t="shared" si="5"/>
        <v/>
      </c>
      <c r="L119" t="str">
        <f t="shared" si="6"/>
        <v>Not Yet Received</v>
      </c>
      <c r="M119" s="10" t="str">
        <f t="shared" si="7"/>
        <v/>
      </c>
    </row>
    <row r="120" spans="1:13">
      <c r="A120" t="s">
        <v>671</v>
      </c>
      <c r="B120" t="s">
        <v>284</v>
      </c>
      <c r="C120" s="2">
        <v>45889</v>
      </c>
      <c r="D120" s="2">
        <v>45911</v>
      </c>
      <c r="E120" t="s">
        <v>548</v>
      </c>
      <c r="F120" t="s">
        <v>545</v>
      </c>
      <c r="G120" t="s">
        <v>552</v>
      </c>
      <c r="H120">
        <v>60</v>
      </c>
      <c r="I120" t="str">
        <f t="shared" si="4"/>
        <v>Complete</v>
      </c>
      <c r="J120" s="8">
        <f>IF(_xlfn.XLOOKUP(A120,POTracking!$A:$A,POTracking!$D:$D,"")=0,"",_xlfn.XLOOKUP(A120,POTracking!$A:$A,POTracking!$D:$D,""))</f>
        <v>45901</v>
      </c>
      <c r="K120" s="9">
        <f t="shared" si="5"/>
        <v>-10</v>
      </c>
      <c r="L120" t="str">
        <f t="shared" si="6"/>
        <v>On Time/Early</v>
      </c>
      <c r="M120" s="10">
        <f t="shared" si="7"/>
        <v>12</v>
      </c>
    </row>
    <row r="121" spans="1:13">
      <c r="A121" t="s">
        <v>672</v>
      </c>
      <c r="B121" t="s">
        <v>255</v>
      </c>
      <c r="C121" s="2">
        <v>45945</v>
      </c>
      <c r="D121" s="2">
        <v>45950</v>
      </c>
      <c r="E121" t="s">
        <v>548</v>
      </c>
      <c r="F121" t="s">
        <v>545</v>
      </c>
      <c r="G121" t="s">
        <v>549</v>
      </c>
      <c r="H121">
        <v>45</v>
      </c>
      <c r="I121" t="str">
        <f t="shared" si="4"/>
        <v>Complete</v>
      </c>
      <c r="J121" s="8">
        <f>IF(_xlfn.XLOOKUP(A121,POTracking!$A:$A,POTracking!$D:$D,"")=0,"",_xlfn.XLOOKUP(A121,POTracking!$A:$A,POTracking!$D:$D,""))</f>
        <v>45957</v>
      </c>
      <c r="K121" s="9">
        <f t="shared" si="5"/>
        <v>7</v>
      </c>
      <c r="L121" t="str">
        <f t="shared" si="6"/>
        <v>Late</v>
      </c>
      <c r="M121" s="10">
        <f t="shared" si="7"/>
        <v>12</v>
      </c>
    </row>
    <row r="122" spans="1:13">
      <c r="A122" t="s">
        <v>673</v>
      </c>
      <c r="B122" t="s">
        <v>272</v>
      </c>
      <c r="C122" s="2">
        <v>45710</v>
      </c>
      <c r="D122" s="2">
        <v>45729</v>
      </c>
      <c r="E122" t="s">
        <v>558</v>
      </c>
      <c r="F122" t="s">
        <v>545</v>
      </c>
      <c r="G122" t="s">
        <v>561</v>
      </c>
      <c r="H122">
        <v>60</v>
      </c>
      <c r="I122" t="str">
        <f t="shared" si="4"/>
        <v>Monitor</v>
      </c>
      <c r="J122" s="8">
        <f>IF(_xlfn.XLOOKUP(A122,POTracking!$A:$A,POTracking!$D:$D,"")=0,"",_xlfn.XLOOKUP(A122,POTracking!$A:$A,POTracking!$D:$D,""))</f>
        <v>45723</v>
      </c>
      <c r="K122" s="9">
        <f t="shared" si="5"/>
        <v>-6</v>
      </c>
      <c r="L122" t="str">
        <f t="shared" si="6"/>
        <v>On Time/Early</v>
      </c>
      <c r="M122" s="10">
        <f t="shared" si="7"/>
        <v>13</v>
      </c>
    </row>
    <row r="123" spans="1:13">
      <c r="A123" t="s">
        <v>674</v>
      </c>
      <c r="B123" t="s">
        <v>286</v>
      </c>
      <c r="C123" s="2">
        <v>45822</v>
      </c>
      <c r="D123" s="2">
        <v>45828</v>
      </c>
      <c r="E123" t="s">
        <v>551</v>
      </c>
      <c r="F123" t="s">
        <v>545</v>
      </c>
      <c r="G123" t="s">
        <v>556</v>
      </c>
      <c r="H123">
        <v>45</v>
      </c>
      <c r="I123" t="str">
        <f t="shared" si="4"/>
        <v>Urgent Follow-Up</v>
      </c>
      <c r="J123" s="8" t="str">
        <f>IF(_xlfn.XLOOKUP(A123,POTracking!$A:$A,POTracking!$D:$D,"")=0,"",_xlfn.XLOOKUP(A123,POTracking!$A:$A,POTracking!$D:$D,""))</f>
        <v/>
      </c>
      <c r="K123" s="9" t="str">
        <f t="shared" si="5"/>
        <v/>
      </c>
      <c r="L123" t="str">
        <f t="shared" si="6"/>
        <v>Not Yet Received</v>
      </c>
      <c r="M123" s="10" t="str">
        <f t="shared" si="7"/>
        <v/>
      </c>
    </row>
    <row r="124" spans="1:13">
      <c r="A124" t="s">
        <v>675</v>
      </c>
      <c r="B124" t="s">
        <v>266</v>
      </c>
      <c r="C124" s="2">
        <v>45963</v>
      </c>
      <c r="D124" s="2">
        <v>46002</v>
      </c>
      <c r="E124" t="s">
        <v>548</v>
      </c>
      <c r="F124" t="s">
        <v>545</v>
      </c>
      <c r="G124" t="s">
        <v>546</v>
      </c>
      <c r="H124">
        <v>30</v>
      </c>
      <c r="I124" t="str">
        <f t="shared" si="4"/>
        <v>Complete</v>
      </c>
      <c r="J124" s="8">
        <f>IF(_xlfn.XLOOKUP(A124,POTracking!$A:$A,POTracking!$D:$D,"")=0,"",_xlfn.XLOOKUP(A124,POTracking!$A:$A,POTracking!$D:$D,""))</f>
        <v>46002</v>
      </c>
      <c r="K124" s="9">
        <f t="shared" si="5"/>
        <v>0</v>
      </c>
      <c r="L124" t="str">
        <f t="shared" si="6"/>
        <v>On Time/Early</v>
      </c>
      <c r="M124" s="10">
        <f t="shared" si="7"/>
        <v>39</v>
      </c>
    </row>
    <row r="125" spans="1:13">
      <c r="A125" t="s">
        <v>676</v>
      </c>
      <c r="B125" t="s">
        <v>242</v>
      </c>
      <c r="C125" s="2">
        <v>45707</v>
      </c>
      <c r="D125" s="2">
        <v>45713</v>
      </c>
      <c r="E125" t="s">
        <v>548</v>
      </c>
      <c r="F125" t="s">
        <v>545</v>
      </c>
      <c r="G125" t="s">
        <v>546</v>
      </c>
      <c r="H125">
        <v>60</v>
      </c>
      <c r="I125" t="str">
        <f t="shared" si="4"/>
        <v>Complete</v>
      </c>
      <c r="J125" s="8">
        <f>IF(_xlfn.XLOOKUP(A125,POTracking!$A:$A,POTracking!$D:$D,"")=0,"",_xlfn.XLOOKUP(A125,POTracking!$A:$A,POTracking!$D:$D,""))</f>
        <v>45723</v>
      </c>
      <c r="K125" s="9">
        <f t="shared" si="5"/>
        <v>10</v>
      </c>
      <c r="L125" t="str">
        <f t="shared" si="6"/>
        <v>Late</v>
      </c>
      <c r="M125" s="10">
        <f t="shared" si="7"/>
        <v>16</v>
      </c>
    </row>
    <row r="126" spans="1:13">
      <c r="A126" t="s">
        <v>677</v>
      </c>
      <c r="B126" t="s">
        <v>270</v>
      </c>
      <c r="C126" s="2">
        <v>45838</v>
      </c>
      <c r="D126" s="2">
        <v>45843</v>
      </c>
      <c r="E126" t="s">
        <v>548</v>
      </c>
      <c r="F126" t="s">
        <v>545</v>
      </c>
      <c r="G126" t="s">
        <v>552</v>
      </c>
      <c r="H126">
        <v>45</v>
      </c>
      <c r="I126" t="str">
        <f t="shared" si="4"/>
        <v>Complete</v>
      </c>
      <c r="J126" s="8">
        <f>IF(_xlfn.XLOOKUP(A126,POTracking!$A:$A,POTracking!$D:$D,"")=0,"",_xlfn.XLOOKUP(A126,POTracking!$A:$A,POTracking!$D:$D,""))</f>
        <v>45850</v>
      </c>
      <c r="K126" s="9">
        <f t="shared" si="5"/>
        <v>7</v>
      </c>
      <c r="L126" t="str">
        <f t="shared" si="6"/>
        <v>Late</v>
      </c>
      <c r="M126" s="10">
        <f t="shared" si="7"/>
        <v>12</v>
      </c>
    </row>
    <row r="127" spans="1:13">
      <c r="A127" t="s">
        <v>678</v>
      </c>
      <c r="B127" t="s">
        <v>261</v>
      </c>
      <c r="C127" s="2">
        <v>45991</v>
      </c>
      <c r="D127" s="2">
        <v>46015</v>
      </c>
      <c r="E127" t="s">
        <v>548</v>
      </c>
      <c r="F127" t="s">
        <v>545</v>
      </c>
      <c r="G127" t="s">
        <v>552</v>
      </c>
      <c r="H127">
        <v>45</v>
      </c>
      <c r="I127" t="str">
        <f t="shared" si="4"/>
        <v>Complete</v>
      </c>
      <c r="J127" s="8">
        <f>IF(_xlfn.XLOOKUP(A127,POTracking!$A:$A,POTracking!$D:$D,"")=0,"",_xlfn.XLOOKUP(A127,POTracking!$A:$A,POTracking!$D:$D,""))</f>
        <v>46022</v>
      </c>
      <c r="K127" s="9">
        <f t="shared" si="5"/>
        <v>7</v>
      </c>
      <c r="L127" t="str">
        <f t="shared" si="6"/>
        <v>Late</v>
      </c>
      <c r="M127" s="10">
        <f t="shared" si="7"/>
        <v>31</v>
      </c>
    </row>
    <row r="128" spans="1:13">
      <c r="A128" t="s">
        <v>679</v>
      </c>
      <c r="B128" t="s">
        <v>284</v>
      </c>
      <c r="C128" s="2">
        <v>45700</v>
      </c>
      <c r="D128" s="2">
        <v>45718</v>
      </c>
      <c r="E128" t="s">
        <v>548</v>
      </c>
      <c r="F128" t="s">
        <v>545</v>
      </c>
      <c r="G128" t="s">
        <v>552</v>
      </c>
      <c r="H128">
        <v>45</v>
      </c>
      <c r="I128" t="str">
        <f t="shared" si="4"/>
        <v>Complete</v>
      </c>
      <c r="J128" s="8">
        <f>IF(_xlfn.XLOOKUP(A128,POTracking!$A:$A,POTracking!$D:$D,"")=0,"",_xlfn.XLOOKUP(A128,POTracking!$A:$A,POTracking!$D:$D,""))</f>
        <v>45737</v>
      </c>
      <c r="K128" s="9">
        <f t="shared" si="5"/>
        <v>19</v>
      </c>
      <c r="L128" t="str">
        <f t="shared" si="6"/>
        <v>Late</v>
      </c>
      <c r="M128" s="10">
        <f t="shared" si="7"/>
        <v>37</v>
      </c>
    </row>
    <row r="129" spans="1:13">
      <c r="A129" t="s">
        <v>680</v>
      </c>
      <c r="B129" t="s">
        <v>236</v>
      </c>
      <c r="C129" s="2">
        <v>45994</v>
      </c>
      <c r="D129" s="2">
        <v>46021</v>
      </c>
      <c r="E129" t="s">
        <v>544</v>
      </c>
      <c r="F129" t="s">
        <v>545</v>
      </c>
      <c r="G129" t="s">
        <v>549</v>
      </c>
      <c r="H129">
        <v>45</v>
      </c>
      <c r="I129" t="str">
        <f t="shared" si="4"/>
        <v>Monitor</v>
      </c>
      <c r="J129" s="8" t="str">
        <f>IF(_xlfn.XLOOKUP(A129,POTracking!$A:$A,POTracking!$D:$D,"")=0,"",_xlfn.XLOOKUP(A129,POTracking!$A:$A,POTracking!$D:$D,""))</f>
        <v/>
      </c>
      <c r="K129" s="9" t="str">
        <f t="shared" si="5"/>
        <v/>
      </c>
      <c r="L129" t="str">
        <f t="shared" si="6"/>
        <v>Not Yet Received</v>
      </c>
      <c r="M129" s="10" t="str">
        <f t="shared" si="7"/>
        <v/>
      </c>
    </row>
    <row r="130" spans="1:13">
      <c r="A130" t="s">
        <v>681</v>
      </c>
      <c r="B130" t="s">
        <v>278</v>
      </c>
      <c r="C130" s="2">
        <v>45919</v>
      </c>
      <c r="D130" s="2">
        <v>45923</v>
      </c>
      <c r="E130" t="s">
        <v>548</v>
      </c>
      <c r="F130" t="s">
        <v>545</v>
      </c>
      <c r="G130" t="s">
        <v>546</v>
      </c>
      <c r="H130">
        <v>45</v>
      </c>
      <c r="I130" t="str">
        <f t="shared" si="4"/>
        <v>Complete</v>
      </c>
      <c r="J130" s="8">
        <f>IF(_xlfn.XLOOKUP(A130,POTracking!$A:$A,POTracking!$D:$D,"")=0,"",_xlfn.XLOOKUP(A130,POTracking!$A:$A,POTracking!$D:$D,""))</f>
        <v>45930</v>
      </c>
      <c r="K130" s="9">
        <f t="shared" si="5"/>
        <v>7</v>
      </c>
      <c r="L130" t="str">
        <f t="shared" si="6"/>
        <v>Late</v>
      </c>
      <c r="M130" s="10">
        <f t="shared" si="7"/>
        <v>11</v>
      </c>
    </row>
    <row r="131" spans="1:13">
      <c r="A131" t="s">
        <v>682</v>
      </c>
      <c r="B131" t="s">
        <v>261</v>
      </c>
      <c r="C131" s="2">
        <v>45701</v>
      </c>
      <c r="D131" s="2">
        <v>45707</v>
      </c>
      <c r="E131" t="s">
        <v>548</v>
      </c>
      <c r="F131" t="s">
        <v>545</v>
      </c>
      <c r="G131" t="s">
        <v>549</v>
      </c>
      <c r="H131">
        <v>60</v>
      </c>
      <c r="I131" t="str">
        <f t="shared" ref="I131:I194" si="8">IF(TRIM(E131)="Overdue","Urgent Follow-Up",IF(TRIM(E131)="Received","Complete",IF(OR(TRIM(E131)="Open",TRIM(E131)="Partially Received"),"Monitor","Check Status")))</f>
        <v>Complete</v>
      </c>
      <c r="J131" s="8">
        <f>IF(_xlfn.XLOOKUP(A131,POTracking!$A:$A,POTracking!$D:$D,"")=0,"",_xlfn.XLOOKUP(A131,POTracking!$A:$A,POTracking!$D:$D,""))</f>
        <v>45717</v>
      </c>
      <c r="K131" s="9">
        <f t="shared" ref="K131:K194" si="9">IF(J131="","",J131-D131)</f>
        <v>10</v>
      </c>
      <c r="L131" t="str">
        <f t="shared" ref="L131:L194" si="10">IF(J131="","Not Yet Received",IF(K131&lt;=0,"On Time/Early","Late"))</f>
        <v>Late</v>
      </c>
      <c r="M131" s="10">
        <f t="shared" ref="M131:M194" si="11">IF(J131="","",J131-C131)</f>
        <v>16</v>
      </c>
    </row>
    <row r="132" spans="1:13">
      <c r="A132" t="s">
        <v>683</v>
      </c>
      <c r="B132" t="s">
        <v>236</v>
      </c>
      <c r="C132" s="2">
        <v>45891</v>
      </c>
      <c r="D132" s="2">
        <v>45903</v>
      </c>
      <c r="E132" t="s">
        <v>548</v>
      </c>
      <c r="F132" t="s">
        <v>545</v>
      </c>
      <c r="G132" t="s">
        <v>549</v>
      </c>
      <c r="H132">
        <v>45</v>
      </c>
      <c r="I132" t="str">
        <f t="shared" si="8"/>
        <v>Complete</v>
      </c>
      <c r="J132" s="8">
        <f>IF(_xlfn.XLOOKUP(A132,POTracking!$A:$A,POTracking!$D:$D,"")=0,"",_xlfn.XLOOKUP(A132,POTracking!$A:$A,POTracking!$D:$D,""))</f>
        <v>45903</v>
      </c>
      <c r="K132" s="9">
        <f t="shared" si="9"/>
        <v>0</v>
      </c>
      <c r="L132" t="str">
        <f t="shared" si="10"/>
        <v>On Time/Early</v>
      </c>
      <c r="M132" s="10">
        <f t="shared" si="11"/>
        <v>12</v>
      </c>
    </row>
    <row r="133" spans="1:13">
      <c r="A133" t="s">
        <v>684</v>
      </c>
      <c r="B133" t="s">
        <v>247</v>
      </c>
      <c r="C133" s="2">
        <v>45757</v>
      </c>
      <c r="D133" s="2">
        <v>45784</v>
      </c>
      <c r="E133" t="s">
        <v>548</v>
      </c>
      <c r="F133" t="s">
        <v>545</v>
      </c>
      <c r="G133" t="s">
        <v>556</v>
      </c>
      <c r="H133">
        <v>30</v>
      </c>
      <c r="I133" t="str">
        <f t="shared" si="8"/>
        <v>Complete</v>
      </c>
      <c r="J133" s="8">
        <f>IF(_xlfn.XLOOKUP(A133,POTracking!$A:$A,POTracking!$D:$D,"")=0,"",_xlfn.XLOOKUP(A133,POTracking!$A:$A,POTracking!$D:$D,""))</f>
        <v>45790</v>
      </c>
      <c r="K133" s="9">
        <f t="shared" si="9"/>
        <v>6</v>
      </c>
      <c r="L133" t="str">
        <f t="shared" si="10"/>
        <v>Late</v>
      </c>
      <c r="M133" s="10">
        <f t="shared" si="11"/>
        <v>33</v>
      </c>
    </row>
    <row r="134" spans="1:13">
      <c r="A134" t="s">
        <v>685</v>
      </c>
      <c r="B134" t="s">
        <v>274</v>
      </c>
      <c r="C134" s="2">
        <v>45749</v>
      </c>
      <c r="D134" s="2">
        <v>45774</v>
      </c>
      <c r="E134" t="s">
        <v>548</v>
      </c>
      <c r="F134" t="s">
        <v>545</v>
      </c>
      <c r="G134" t="s">
        <v>549</v>
      </c>
      <c r="H134">
        <v>45</v>
      </c>
      <c r="I134" t="str">
        <f t="shared" si="8"/>
        <v>Complete</v>
      </c>
      <c r="J134" s="8">
        <f>IF(_xlfn.XLOOKUP(A134,POTracking!$A:$A,POTracking!$D:$D,"")=0,"",_xlfn.XLOOKUP(A134,POTracking!$A:$A,POTracking!$D:$D,""))</f>
        <v>45776</v>
      </c>
      <c r="K134" s="9">
        <f t="shared" si="9"/>
        <v>2</v>
      </c>
      <c r="L134" t="str">
        <f t="shared" si="10"/>
        <v>Late</v>
      </c>
      <c r="M134" s="10">
        <f t="shared" si="11"/>
        <v>27</v>
      </c>
    </row>
    <row r="135" spans="1:13">
      <c r="A135" t="s">
        <v>686</v>
      </c>
      <c r="B135" t="s">
        <v>282</v>
      </c>
      <c r="C135" s="2">
        <v>45664</v>
      </c>
      <c r="D135" s="2">
        <v>45673</v>
      </c>
      <c r="E135" t="s">
        <v>551</v>
      </c>
      <c r="F135" t="s">
        <v>545</v>
      </c>
      <c r="G135" t="s">
        <v>549</v>
      </c>
      <c r="H135">
        <v>60</v>
      </c>
      <c r="I135" t="str">
        <f t="shared" si="8"/>
        <v>Urgent Follow-Up</v>
      </c>
      <c r="J135" s="8" t="str">
        <f>IF(_xlfn.XLOOKUP(A135,POTracking!$A:$A,POTracking!$D:$D,"")=0,"",_xlfn.XLOOKUP(A135,POTracking!$A:$A,POTracking!$D:$D,""))</f>
        <v/>
      </c>
      <c r="K135" s="9" t="str">
        <f t="shared" si="9"/>
        <v/>
      </c>
      <c r="L135" t="str">
        <f t="shared" si="10"/>
        <v>Not Yet Received</v>
      </c>
      <c r="M135" s="10" t="str">
        <f t="shared" si="11"/>
        <v/>
      </c>
    </row>
    <row r="136" spans="1:13">
      <c r="A136" t="s">
        <v>687</v>
      </c>
      <c r="B136" t="s">
        <v>268</v>
      </c>
      <c r="C136" s="2">
        <v>45897</v>
      </c>
      <c r="D136" s="2">
        <v>45914</v>
      </c>
      <c r="E136" t="s">
        <v>558</v>
      </c>
      <c r="F136" t="s">
        <v>545</v>
      </c>
      <c r="G136" t="s">
        <v>552</v>
      </c>
      <c r="H136">
        <v>60</v>
      </c>
      <c r="I136" t="str">
        <f t="shared" si="8"/>
        <v>Monitor</v>
      </c>
      <c r="J136" s="8">
        <f>IF(_xlfn.XLOOKUP(A136,POTracking!$A:$A,POTracking!$D:$D,"")=0,"",_xlfn.XLOOKUP(A136,POTracking!$A:$A,POTracking!$D:$D,""))</f>
        <v>45910</v>
      </c>
      <c r="K136" s="9">
        <f t="shared" si="9"/>
        <v>-4</v>
      </c>
      <c r="L136" t="str">
        <f t="shared" si="10"/>
        <v>On Time/Early</v>
      </c>
      <c r="M136" s="10">
        <f t="shared" si="11"/>
        <v>13</v>
      </c>
    </row>
    <row r="137" spans="1:13">
      <c r="A137" t="s">
        <v>688</v>
      </c>
      <c r="B137" t="s">
        <v>263</v>
      </c>
      <c r="C137" s="2">
        <v>45772</v>
      </c>
      <c r="D137" s="2">
        <v>45790</v>
      </c>
      <c r="E137" t="s">
        <v>558</v>
      </c>
      <c r="F137" t="s">
        <v>545</v>
      </c>
      <c r="G137" t="s">
        <v>546</v>
      </c>
      <c r="H137">
        <v>45</v>
      </c>
      <c r="I137" t="str">
        <f t="shared" si="8"/>
        <v>Monitor</v>
      </c>
      <c r="J137" s="8">
        <f>IF(_xlfn.XLOOKUP(A137,POTracking!$A:$A,POTracking!$D:$D,"")=0,"",_xlfn.XLOOKUP(A137,POTracking!$A:$A,POTracking!$D:$D,""))</f>
        <v>45791</v>
      </c>
      <c r="K137" s="9">
        <f t="shared" si="9"/>
        <v>1</v>
      </c>
      <c r="L137" t="str">
        <f t="shared" si="10"/>
        <v>Late</v>
      </c>
      <c r="M137" s="10">
        <f t="shared" si="11"/>
        <v>19</v>
      </c>
    </row>
    <row r="138" spans="1:13">
      <c r="A138" t="s">
        <v>689</v>
      </c>
      <c r="B138" t="s">
        <v>286</v>
      </c>
      <c r="C138" s="2">
        <v>45780</v>
      </c>
      <c r="D138" s="2">
        <v>45803</v>
      </c>
      <c r="E138" t="s">
        <v>558</v>
      </c>
      <c r="F138" t="s">
        <v>545</v>
      </c>
      <c r="G138" t="s">
        <v>546</v>
      </c>
      <c r="H138">
        <v>45</v>
      </c>
      <c r="I138" t="str">
        <f t="shared" si="8"/>
        <v>Monitor</v>
      </c>
      <c r="J138" s="8" t="str">
        <f>IF(_xlfn.XLOOKUP(A138,POTracking!$A:$A,POTracking!$D:$D,"")=0,"",_xlfn.XLOOKUP(A138,POTracking!$A:$A,POTracking!$D:$D,""))</f>
        <v/>
      </c>
      <c r="K138" s="9" t="str">
        <f t="shared" si="9"/>
        <v/>
      </c>
      <c r="L138" t="str">
        <f t="shared" si="10"/>
        <v>Not Yet Received</v>
      </c>
      <c r="M138" s="10" t="str">
        <f t="shared" si="11"/>
        <v/>
      </c>
    </row>
    <row r="139" spans="1:13">
      <c r="A139" t="s">
        <v>690</v>
      </c>
      <c r="B139" t="s">
        <v>278</v>
      </c>
      <c r="C139" s="2">
        <v>45915</v>
      </c>
      <c r="D139" s="2">
        <v>45943</v>
      </c>
      <c r="E139" t="s">
        <v>551</v>
      </c>
      <c r="F139" t="s">
        <v>545</v>
      </c>
      <c r="G139" t="s">
        <v>546</v>
      </c>
      <c r="H139">
        <v>30</v>
      </c>
      <c r="I139" t="str">
        <f t="shared" si="8"/>
        <v>Urgent Follow-Up</v>
      </c>
      <c r="J139" s="8" t="str">
        <f>IF(_xlfn.XLOOKUP(A139,POTracking!$A:$A,POTracking!$D:$D,"")=0,"",_xlfn.XLOOKUP(A139,POTracking!$A:$A,POTracking!$D:$D,""))</f>
        <v/>
      </c>
      <c r="K139" s="9" t="str">
        <f t="shared" si="9"/>
        <v/>
      </c>
      <c r="L139" t="str">
        <f t="shared" si="10"/>
        <v>Not Yet Received</v>
      </c>
      <c r="M139" s="10" t="str">
        <f t="shared" si="11"/>
        <v/>
      </c>
    </row>
    <row r="140" spans="1:13">
      <c r="A140" t="s">
        <v>691</v>
      </c>
      <c r="B140" t="s">
        <v>236</v>
      </c>
      <c r="C140" s="2">
        <v>45915</v>
      </c>
      <c r="D140" s="2">
        <v>45944</v>
      </c>
      <c r="E140" t="s">
        <v>548</v>
      </c>
      <c r="F140" t="s">
        <v>545</v>
      </c>
      <c r="G140" t="s">
        <v>552</v>
      </c>
      <c r="H140">
        <v>45</v>
      </c>
      <c r="I140" t="str">
        <f t="shared" si="8"/>
        <v>Complete</v>
      </c>
      <c r="J140" s="8">
        <f>IF(_xlfn.XLOOKUP(A140,POTracking!$A:$A,POTracking!$D:$D,"")=0,"",_xlfn.XLOOKUP(A140,POTracking!$A:$A,POTracking!$D:$D,""))</f>
        <v>45939</v>
      </c>
      <c r="K140" s="9">
        <f t="shared" si="9"/>
        <v>-5</v>
      </c>
      <c r="L140" t="str">
        <f t="shared" si="10"/>
        <v>On Time/Early</v>
      </c>
      <c r="M140" s="10">
        <f t="shared" si="11"/>
        <v>24</v>
      </c>
    </row>
    <row r="141" spans="1:13">
      <c r="A141" t="s">
        <v>692</v>
      </c>
      <c r="B141" t="s">
        <v>280</v>
      </c>
      <c r="C141" s="2">
        <v>45893</v>
      </c>
      <c r="D141" s="2">
        <v>45908</v>
      </c>
      <c r="E141" t="s">
        <v>551</v>
      </c>
      <c r="F141" t="s">
        <v>545</v>
      </c>
      <c r="G141" t="s">
        <v>546</v>
      </c>
      <c r="H141">
        <v>30</v>
      </c>
      <c r="I141" t="str">
        <f t="shared" si="8"/>
        <v>Urgent Follow-Up</v>
      </c>
      <c r="J141" s="8" t="str">
        <f>IF(_xlfn.XLOOKUP(A141,POTracking!$A:$A,POTracking!$D:$D,"")=0,"",_xlfn.XLOOKUP(A141,POTracking!$A:$A,POTracking!$D:$D,""))</f>
        <v/>
      </c>
      <c r="K141" s="9" t="str">
        <f t="shared" si="9"/>
        <v/>
      </c>
      <c r="L141" t="str">
        <f t="shared" si="10"/>
        <v>Not Yet Received</v>
      </c>
      <c r="M141" s="10" t="str">
        <f t="shared" si="11"/>
        <v/>
      </c>
    </row>
    <row r="142" spans="1:13">
      <c r="A142" t="s">
        <v>693</v>
      </c>
      <c r="B142" t="s">
        <v>251</v>
      </c>
      <c r="C142" s="2">
        <v>45921</v>
      </c>
      <c r="D142" s="2">
        <v>45927</v>
      </c>
      <c r="E142" t="s">
        <v>558</v>
      </c>
      <c r="F142" t="s">
        <v>545</v>
      </c>
      <c r="G142" t="s">
        <v>552</v>
      </c>
      <c r="H142">
        <v>45</v>
      </c>
      <c r="I142" t="str">
        <f t="shared" si="8"/>
        <v>Monitor</v>
      </c>
      <c r="J142" s="8">
        <f>IF(_xlfn.XLOOKUP(A142,POTracking!$A:$A,POTracking!$D:$D,"")=0,"",_xlfn.XLOOKUP(A142,POTracking!$A:$A,POTracking!$D:$D,""))</f>
        <v>45935</v>
      </c>
      <c r="K142" s="9">
        <f t="shared" si="9"/>
        <v>8</v>
      </c>
      <c r="L142" t="str">
        <f t="shared" si="10"/>
        <v>Late</v>
      </c>
      <c r="M142" s="10">
        <f t="shared" si="11"/>
        <v>14</v>
      </c>
    </row>
    <row r="143" spans="1:13">
      <c r="A143" t="s">
        <v>694</v>
      </c>
      <c r="B143" t="s">
        <v>236</v>
      </c>
      <c r="C143" s="2">
        <v>45935</v>
      </c>
      <c r="D143" s="2">
        <v>45953</v>
      </c>
      <c r="E143" t="s">
        <v>548</v>
      </c>
      <c r="F143" t="s">
        <v>545</v>
      </c>
      <c r="G143" t="s">
        <v>546</v>
      </c>
      <c r="H143">
        <v>30</v>
      </c>
      <c r="I143" t="str">
        <f t="shared" si="8"/>
        <v>Complete</v>
      </c>
      <c r="J143" s="8">
        <f>IF(_xlfn.XLOOKUP(A143,POTracking!$A:$A,POTracking!$D:$D,"")=0,"",_xlfn.XLOOKUP(A143,POTracking!$A:$A,POTracking!$D:$D,""))</f>
        <v>45949</v>
      </c>
      <c r="K143" s="9">
        <f t="shared" si="9"/>
        <v>-4</v>
      </c>
      <c r="L143" t="str">
        <f t="shared" si="10"/>
        <v>On Time/Early</v>
      </c>
      <c r="M143" s="10">
        <f t="shared" si="11"/>
        <v>14</v>
      </c>
    </row>
    <row r="144" spans="1:13">
      <c r="A144" t="s">
        <v>695</v>
      </c>
      <c r="B144" t="s">
        <v>266</v>
      </c>
      <c r="C144" s="2">
        <v>45876</v>
      </c>
      <c r="D144" s="2">
        <v>45881</v>
      </c>
      <c r="E144" t="s">
        <v>548</v>
      </c>
      <c r="F144" t="s">
        <v>545</v>
      </c>
      <c r="G144" t="s">
        <v>549</v>
      </c>
      <c r="H144">
        <v>45</v>
      </c>
      <c r="I144" t="str">
        <f t="shared" si="8"/>
        <v>Complete</v>
      </c>
      <c r="J144" s="8">
        <f>IF(_xlfn.XLOOKUP(A144,POTracking!$A:$A,POTracking!$D:$D,"")=0,"",_xlfn.XLOOKUP(A144,POTracking!$A:$A,POTracking!$D:$D,""))</f>
        <v>45891</v>
      </c>
      <c r="K144" s="9">
        <f t="shared" si="9"/>
        <v>10</v>
      </c>
      <c r="L144" t="str">
        <f t="shared" si="10"/>
        <v>Late</v>
      </c>
      <c r="M144" s="10">
        <f t="shared" si="11"/>
        <v>15</v>
      </c>
    </row>
    <row r="145" spans="1:13">
      <c r="A145" t="s">
        <v>696</v>
      </c>
      <c r="B145" t="s">
        <v>259</v>
      </c>
      <c r="C145" s="2">
        <v>45770</v>
      </c>
      <c r="D145" s="2">
        <v>45784</v>
      </c>
      <c r="E145" t="s">
        <v>548</v>
      </c>
      <c r="F145" t="s">
        <v>545</v>
      </c>
      <c r="G145" t="s">
        <v>552</v>
      </c>
      <c r="H145">
        <v>45</v>
      </c>
      <c r="I145" t="str">
        <f t="shared" si="8"/>
        <v>Complete</v>
      </c>
      <c r="J145" s="8">
        <f>IF(_xlfn.XLOOKUP(A145,POTracking!$A:$A,POTracking!$D:$D,"")=0,"",_xlfn.XLOOKUP(A145,POTracking!$A:$A,POTracking!$D:$D,""))</f>
        <v>45785</v>
      </c>
      <c r="K145" s="9">
        <f t="shared" si="9"/>
        <v>1</v>
      </c>
      <c r="L145" t="str">
        <f t="shared" si="10"/>
        <v>Late</v>
      </c>
      <c r="M145" s="10">
        <f t="shared" si="11"/>
        <v>15</v>
      </c>
    </row>
    <row r="146" spans="1:13">
      <c r="A146" t="s">
        <v>697</v>
      </c>
      <c r="B146" t="s">
        <v>236</v>
      </c>
      <c r="C146" s="2">
        <v>45798</v>
      </c>
      <c r="D146" s="2">
        <v>45803</v>
      </c>
      <c r="E146" t="s">
        <v>548</v>
      </c>
      <c r="F146" t="s">
        <v>545</v>
      </c>
      <c r="G146" t="s">
        <v>561</v>
      </c>
      <c r="H146">
        <v>60</v>
      </c>
      <c r="I146" t="str">
        <f t="shared" si="8"/>
        <v>Complete</v>
      </c>
      <c r="J146" s="8">
        <f>IF(_xlfn.XLOOKUP(A146,POTracking!$A:$A,POTracking!$D:$D,"")=0,"",_xlfn.XLOOKUP(A146,POTracking!$A:$A,POTracking!$D:$D,""))</f>
        <v>45793</v>
      </c>
      <c r="K146" s="9">
        <f t="shared" si="9"/>
        <v>-10</v>
      </c>
      <c r="L146" t="str">
        <f t="shared" si="10"/>
        <v>On Time/Early</v>
      </c>
      <c r="M146" s="10">
        <f t="shared" si="11"/>
        <v>-5</v>
      </c>
    </row>
    <row r="147" spans="1:13">
      <c r="A147" t="s">
        <v>698</v>
      </c>
      <c r="B147" t="s">
        <v>282</v>
      </c>
      <c r="C147" s="2">
        <v>45834</v>
      </c>
      <c r="D147" s="2">
        <v>45843</v>
      </c>
      <c r="E147" t="s">
        <v>558</v>
      </c>
      <c r="F147" t="s">
        <v>545</v>
      </c>
      <c r="G147" t="s">
        <v>549</v>
      </c>
      <c r="H147">
        <v>60</v>
      </c>
      <c r="I147" t="str">
        <f t="shared" si="8"/>
        <v>Monitor</v>
      </c>
      <c r="J147" s="8" t="str">
        <f>IF(_xlfn.XLOOKUP(A147,POTracking!$A:$A,POTracking!$D:$D,"")=0,"",_xlfn.XLOOKUP(A147,POTracking!$A:$A,POTracking!$D:$D,""))</f>
        <v/>
      </c>
      <c r="K147" s="9" t="str">
        <f t="shared" si="9"/>
        <v/>
      </c>
      <c r="L147" t="str">
        <f t="shared" si="10"/>
        <v>Not Yet Received</v>
      </c>
      <c r="M147" s="10" t="str">
        <f t="shared" si="11"/>
        <v/>
      </c>
    </row>
    <row r="148" spans="1:13">
      <c r="A148" t="s">
        <v>699</v>
      </c>
      <c r="B148" t="s">
        <v>266</v>
      </c>
      <c r="C148" s="2">
        <v>45775</v>
      </c>
      <c r="D148" s="2">
        <v>45781</v>
      </c>
      <c r="E148" t="s">
        <v>551</v>
      </c>
      <c r="F148" t="s">
        <v>545</v>
      </c>
      <c r="G148" t="s">
        <v>552</v>
      </c>
      <c r="H148">
        <v>60</v>
      </c>
      <c r="I148" t="str">
        <f t="shared" si="8"/>
        <v>Urgent Follow-Up</v>
      </c>
      <c r="J148" s="8" t="str">
        <f>IF(_xlfn.XLOOKUP(A148,POTracking!$A:$A,POTracking!$D:$D,"")=0,"",_xlfn.XLOOKUP(A148,POTracking!$A:$A,POTracking!$D:$D,""))</f>
        <v/>
      </c>
      <c r="K148" s="9" t="str">
        <f t="shared" si="9"/>
        <v/>
      </c>
      <c r="L148" t="str">
        <f t="shared" si="10"/>
        <v>Not Yet Received</v>
      </c>
      <c r="M148" s="10" t="str">
        <f t="shared" si="11"/>
        <v/>
      </c>
    </row>
    <row r="149" spans="1:13">
      <c r="A149" t="s">
        <v>700</v>
      </c>
      <c r="B149" t="s">
        <v>284</v>
      </c>
      <c r="C149" s="2">
        <v>45737</v>
      </c>
      <c r="D149" s="2">
        <v>45749</v>
      </c>
      <c r="E149" t="s">
        <v>558</v>
      </c>
      <c r="F149" t="s">
        <v>545</v>
      </c>
      <c r="G149" t="s">
        <v>561</v>
      </c>
      <c r="H149">
        <v>45</v>
      </c>
      <c r="I149" t="str">
        <f t="shared" si="8"/>
        <v>Monitor</v>
      </c>
      <c r="J149" s="8">
        <f>IF(_xlfn.XLOOKUP(A149,POTracking!$A:$A,POTracking!$D:$D,"")=0,"",_xlfn.XLOOKUP(A149,POTracking!$A:$A,POTracking!$D:$D,""))</f>
        <v>45736</v>
      </c>
      <c r="K149" s="9">
        <f t="shared" si="9"/>
        <v>-13</v>
      </c>
      <c r="L149" t="str">
        <f t="shared" si="10"/>
        <v>On Time/Early</v>
      </c>
      <c r="M149" s="10">
        <f t="shared" si="11"/>
        <v>-1</v>
      </c>
    </row>
    <row r="150" spans="1:13">
      <c r="A150" t="s">
        <v>701</v>
      </c>
      <c r="B150" t="s">
        <v>255</v>
      </c>
      <c r="C150" s="2">
        <v>45888</v>
      </c>
      <c r="D150" s="2">
        <v>45896</v>
      </c>
      <c r="E150" t="s">
        <v>558</v>
      </c>
      <c r="F150" t="s">
        <v>545</v>
      </c>
      <c r="G150" t="s">
        <v>552</v>
      </c>
      <c r="H150">
        <v>60</v>
      </c>
      <c r="I150" t="str">
        <f t="shared" si="8"/>
        <v>Monitor</v>
      </c>
      <c r="J150" s="8">
        <f>IF(_xlfn.XLOOKUP(A150,POTracking!$A:$A,POTracking!$D:$D,"")=0,"",_xlfn.XLOOKUP(A150,POTracking!$A:$A,POTracking!$D:$D,""))</f>
        <v>45901</v>
      </c>
      <c r="K150" s="9">
        <f t="shared" si="9"/>
        <v>5</v>
      </c>
      <c r="L150" t="str">
        <f t="shared" si="10"/>
        <v>Late</v>
      </c>
      <c r="M150" s="10">
        <f t="shared" si="11"/>
        <v>13</v>
      </c>
    </row>
    <row r="151" spans="1:13">
      <c r="A151" t="s">
        <v>702</v>
      </c>
      <c r="B151" t="s">
        <v>236</v>
      </c>
      <c r="C151" s="2">
        <v>45798</v>
      </c>
      <c r="D151" s="2">
        <v>45811</v>
      </c>
      <c r="E151" t="s">
        <v>548</v>
      </c>
      <c r="F151" t="s">
        <v>545</v>
      </c>
      <c r="G151" t="s">
        <v>546</v>
      </c>
      <c r="H151">
        <v>60</v>
      </c>
      <c r="I151" t="str">
        <f t="shared" si="8"/>
        <v>Complete</v>
      </c>
      <c r="J151" s="8">
        <f>IF(_xlfn.XLOOKUP(A151,POTracking!$A:$A,POTracking!$D:$D,"")=0,"",_xlfn.XLOOKUP(A151,POTracking!$A:$A,POTracking!$D:$D,""))</f>
        <v>45811</v>
      </c>
      <c r="K151" s="9">
        <f t="shared" si="9"/>
        <v>0</v>
      </c>
      <c r="L151" t="str">
        <f t="shared" si="10"/>
        <v>On Time/Early</v>
      </c>
      <c r="M151" s="10">
        <f t="shared" si="11"/>
        <v>13</v>
      </c>
    </row>
    <row r="152" spans="1:13">
      <c r="A152" t="s">
        <v>703</v>
      </c>
      <c r="B152" t="s">
        <v>259</v>
      </c>
      <c r="C152" s="2">
        <v>45933</v>
      </c>
      <c r="D152" s="2">
        <v>45947</v>
      </c>
      <c r="E152" t="s">
        <v>558</v>
      </c>
      <c r="F152" t="s">
        <v>545</v>
      </c>
      <c r="G152" t="s">
        <v>546</v>
      </c>
      <c r="H152">
        <v>30</v>
      </c>
      <c r="I152" t="str">
        <f t="shared" si="8"/>
        <v>Monitor</v>
      </c>
      <c r="J152" s="8">
        <f>IF(_xlfn.XLOOKUP(A152,POTracking!$A:$A,POTracking!$D:$D,"")=0,"",_xlfn.XLOOKUP(A152,POTracking!$A:$A,POTracking!$D:$D,""))</f>
        <v>45951</v>
      </c>
      <c r="K152" s="9">
        <f t="shared" si="9"/>
        <v>4</v>
      </c>
      <c r="L152" t="str">
        <f t="shared" si="10"/>
        <v>Late</v>
      </c>
      <c r="M152" s="10">
        <f t="shared" si="11"/>
        <v>18</v>
      </c>
    </row>
    <row r="153" spans="1:13">
      <c r="A153" t="s">
        <v>704</v>
      </c>
      <c r="B153" t="s">
        <v>272</v>
      </c>
      <c r="C153" s="2">
        <v>46020</v>
      </c>
      <c r="D153" s="2">
        <v>46042</v>
      </c>
      <c r="E153" t="s">
        <v>544</v>
      </c>
      <c r="F153" t="s">
        <v>545</v>
      </c>
      <c r="G153" t="s">
        <v>549</v>
      </c>
      <c r="H153">
        <v>60</v>
      </c>
      <c r="I153" t="str">
        <f t="shared" si="8"/>
        <v>Monitor</v>
      </c>
      <c r="J153" s="8" t="str">
        <f>IF(_xlfn.XLOOKUP(A153,POTracking!$A:$A,POTracking!$D:$D,"")=0,"",_xlfn.XLOOKUP(A153,POTracking!$A:$A,POTracking!$D:$D,""))</f>
        <v/>
      </c>
      <c r="K153" s="9" t="str">
        <f t="shared" si="9"/>
        <v/>
      </c>
      <c r="L153" t="str">
        <f t="shared" si="10"/>
        <v>Not Yet Received</v>
      </c>
      <c r="M153" s="10" t="str">
        <f t="shared" si="11"/>
        <v/>
      </c>
    </row>
    <row r="154" spans="1:13">
      <c r="A154" t="s">
        <v>705</v>
      </c>
      <c r="B154" t="s">
        <v>266</v>
      </c>
      <c r="C154" s="2">
        <v>45766</v>
      </c>
      <c r="D154" s="2">
        <v>45779</v>
      </c>
      <c r="E154" t="s">
        <v>548</v>
      </c>
      <c r="F154" t="s">
        <v>545</v>
      </c>
      <c r="G154" t="s">
        <v>546</v>
      </c>
      <c r="H154">
        <v>30</v>
      </c>
      <c r="I154" t="str">
        <f t="shared" si="8"/>
        <v>Complete</v>
      </c>
      <c r="J154" s="8">
        <f>IF(_xlfn.XLOOKUP(A154,POTracking!$A:$A,POTracking!$D:$D,"")=0,"",_xlfn.XLOOKUP(A154,POTracking!$A:$A,POTracking!$D:$D,""))</f>
        <v>45775</v>
      </c>
      <c r="K154" s="9">
        <f t="shared" si="9"/>
        <v>-4</v>
      </c>
      <c r="L154" t="str">
        <f t="shared" si="10"/>
        <v>On Time/Early</v>
      </c>
      <c r="M154" s="10">
        <f t="shared" si="11"/>
        <v>9</v>
      </c>
    </row>
    <row r="155" spans="1:13">
      <c r="A155" t="s">
        <v>706</v>
      </c>
      <c r="B155" t="s">
        <v>261</v>
      </c>
      <c r="C155" s="2">
        <v>45895</v>
      </c>
      <c r="D155" s="2">
        <v>45911</v>
      </c>
      <c r="E155" t="s">
        <v>551</v>
      </c>
      <c r="F155" t="s">
        <v>545</v>
      </c>
      <c r="G155" t="s">
        <v>549</v>
      </c>
      <c r="H155">
        <v>45</v>
      </c>
      <c r="I155" t="str">
        <f t="shared" si="8"/>
        <v>Urgent Follow-Up</v>
      </c>
      <c r="J155" s="8" t="str">
        <f>IF(_xlfn.XLOOKUP(A155,POTracking!$A:$A,POTracking!$D:$D,"")=0,"",_xlfn.XLOOKUP(A155,POTracking!$A:$A,POTracking!$D:$D,""))</f>
        <v/>
      </c>
      <c r="K155" s="9" t="str">
        <f t="shared" si="9"/>
        <v/>
      </c>
      <c r="L155" t="str">
        <f t="shared" si="10"/>
        <v>Not Yet Received</v>
      </c>
      <c r="M155" s="10" t="str">
        <f t="shared" si="11"/>
        <v/>
      </c>
    </row>
    <row r="156" spans="1:13">
      <c r="A156" t="s">
        <v>707</v>
      </c>
      <c r="B156" t="s">
        <v>282</v>
      </c>
      <c r="C156" s="2">
        <v>45771</v>
      </c>
      <c r="D156" s="2">
        <v>45777</v>
      </c>
      <c r="E156" t="s">
        <v>551</v>
      </c>
      <c r="F156" t="s">
        <v>545</v>
      </c>
      <c r="G156" t="s">
        <v>552</v>
      </c>
      <c r="H156">
        <v>30</v>
      </c>
      <c r="I156" t="str">
        <f t="shared" si="8"/>
        <v>Urgent Follow-Up</v>
      </c>
      <c r="J156" s="8" t="str">
        <f>IF(_xlfn.XLOOKUP(A156,POTracking!$A:$A,POTracking!$D:$D,"")=0,"",_xlfn.XLOOKUP(A156,POTracking!$A:$A,POTracking!$D:$D,""))</f>
        <v/>
      </c>
      <c r="K156" s="9" t="str">
        <f t="shared" si="9"/>
        <v/>
      </c>
      <c r="L156" t="str">
        <f t="shared" si="10"/>
        <v>Not Yet Received</v>
      </c>
      <c r="M156" s="10" t="str">
        <f t="shared" si="11"/>
        <v/>
      </c>
    </row>
    <row r="157" spans="1:13">
      <c r="A157" t="s">
        <v>708</v>
      </c>
      <c r="B157" t="s">
        <v>280</v>
      </c>
      <c r="C157" s="2">
        <v>45989</v>
      </c>
      <c r="D157" s="2">
        <v>45994</v>
      </c>
      <c r="E157" t="s">
        <v>548</v>
      </c>
      <c r="F157" t="s">
        <v>545</v>
      </c>
      <c r="G157" t="s">
        <v>556</v>
      </c>
      <c r="H157">
        <v>30</v>
      </c>
      <c r="I157" t="str">
        <f t="shared" si="8"/>
        <v>Complete</v>
      </c>
      <c r="J157" s="8">
        <f>IF(_xlfn.XLOOKUP(A157,POTracking!$A:$A,POTracking!$D:$D,"")=0,"",_xlfn.XLOOKUP(A157,POTracking!$A:$A,POTracking!$D:$D,""))</f>
        <v>45995</v>
      </c>
      <c r="K157" s="9">
        <f t="shared" si="9"/>
        <v>1</v>
      </c>
      <c r="L157" t="str">
        <f t="shared" si="10"/>
        <v>Late</v>
      </c>
      <c r="M157" s="10">
        <f t="shared" si="11"/>
        <v>6</v>
      </c>
    </row>
    <row r="158" spans="1:13">
      <c r="A158" t="s">
        <v>709</v>
      </c>
      <c r="B158" t="s">
        <v>247</v>
      </c>
      <c r="C158" s="2">
        <v>45663</v>
      </c>
      <c r="D158" s="2">
        <v>45673</v>
      </c>
      <c r="E158" t="s">
        <v>551</v>
      </c>
      <c r="F158" t="s">
        <v>545</v>
      </c>
      <c r="G158" t="s">
        <v>556</v>
      </c>
      <c r="H158">
        <v>45</v>
      </c>
      <c r="I158" t="str">
        <f t="shared" si="8"/>
        <v>Urgent Follow-Up</v>
      </c>
      <c r="J158" s="8" t="str">
        <f>IF(_xlfn.XLOOKUP(A158,POTracking!$A:$A,POTracking!$D:$D,"")=0,"",_xlfn.XLOOKUP(A158,POTracking!$A:$A,POTracking!$D:$D,""))</f>
        <v/>
      </c>
      <c r="K158" s="9" t="str">
        <f t="shared" si="9"/>
        <v/>
      </c>
      <c r="L158" t="str">
        <f t="shared" si="10"/>
        <v>Not Yet Received</v>
      </c>
      <c r="M158" s="10" t="str">
        <f t="shared" si="11"/>
        <v/>
      </c>
    </row>
    <row r="159" spans="1:13">
      <c r="A159" t="s">
        <v>710</v>
      </c>
      <c r="B159" t="s">
        <v>268</v>
      </c>
      <c r="C159" s="2">
        <v>45801</v>
      </c>
      <c r="D159" s="2">
        <v>45812</v>
      </c>
      <c r="E159" t="s">
        <v>558</v>
      </c>
      <c r="F159" t="s">
        <v>545</v>
      </c>
      <c r="G159" t="s">
        <v>561</v>
      </c>
      <c r="H159">
        <v>30</v>
      </c>
      <c r="I159" t="str">
        <f t="shared" si="8"/>
        <v>Monitor</v>
      </c>
      <c r="J159" s="8">
        <f>IF(_xlfn.XLOOKUP(A159,POTracking!$A:$A,POTracking!$D:$D,"")=0,"",_xlfn.XLOOKUP(A159,POTracking!$A:$A,POTracking!$D:$D,""))</f>
        <v>45824</v>
      </c>
      <c r="K159" s="9">
        <f t="shared" si="9"/>
        <v>12</v>
      </c>
      <c r="L159" t="str">
        <f t="shared" si="10"/>
        <v>Late</v>
      </c>
      <c r="M159" s="10">
        <f t="shared" si="11"/>
        <v>23</v>
      </c>
    </row>
    <row r="160" spans="1:13">
      <c r="A160" t="s">
        <v>711</v>
      </c>
      <c r="B160" t="s">
        <v>259</v>
      </c>
      <c r="C160" s="2">
        <v>45844</v>
      </c>
      <c r="D160" s="2">
        <v>45868</v>
      </c>
      <c r="E160" t="s">
        <v>548</v>
      </c>
      <c r="F160" t="s">
        <v>545</v>
      </c>
      <c r="G160" t="s">
        <v>546</v>
      </c>
      <c r="H160">
        <v>60</v>
      </c>
      <c r="I160" t="str">
        <f t="shared" si="8"/>
        <v>Complete</v>
      </c>
      <c r="J160" s="8">
        <f>IF(_xlfn.XLOOKUP(A160,POTracking!$A:$A,POTracking!$D:$D,"")=0,"",_xlfn.XLOOKUP(A160,POTracking!$A:$A,POTracking!$D:$D,""))</f>
        <v>45873</v>
      </c>
      <c r="K160" s="9">
        <f t="shared" si="9"/>
        <v>5</v>
      </c>
      <c r="L160" t="str">
        <f t="shared" si="10"/>
        <v>Late</v>
      </c>
      <c r="M160" s="10">
        <f t="shared" si="11"/>
        <v>29</v>
      </c>
    </row>
    <row r="161" spans="1:13">
      <c r="A161" t="s">
        <v>712</v>
      </c>
      <c r="B161" t="s">
        <v>236</v>
      </c>
      <c r="C161" s="2">
        <v>45819</v>
      </c>
      <c r="D161" s="2">
        <v>45832</v>
      </c>
      <c r="E161" t="s">
        <v>548</v>
      </c>
      <c r="F161" t="s">
        <v>545</v>
      </c>
      <c r="G161" t="s">
        <v>556</v>
      </c>
      <c r="H161">
        <v>60</v>
      </c>
      <c r="I161" t="str">
        <f t="shared" si="8"/>
        <v>Complete</v>
      </c>
      <c r="J161" s="8">
        <f>IF(_xlfn.XLOOKUP(A161,POTracking!$A:$A,POTracking!$D:$D,"")=0,"",_xlfn.XLOOKUP(A161,POTracking!$A:$A,POTracking!$D:$D,""))</f>
        <v>45822</v>
      </c>
      <c r="K161" s="9">
        <f t="shared" si="9"/>
        <v>-10</v>
      </c>
      <c r="L161" t="str">
        <f t="shared" si="10"/>
        <v>On Time/Early</v>
      </c>
      <c r="M161" s="10">
        <f t="shared" si="11"/>
        <v>3</v>
      </c>
    </row>
    <row r="162" spans="1:13">
      <c r="A162" t="s">
        <v>713</v>
      </c>
      <c r="B162" t="s">
        <v>266</v>
      </c>
      <c r="C162" s="2">
        <v>45680</v>
      </c>
      <c r="D162" s="2">
        <v>45693</v>
      </c>
      <c r="E162" t="s">
        <v>548</v>
      </c>
      <c r="F162" t="s">
        <v>545</v>
      </c>
      <c r="G162" t="s">
        <v>552</v>
      </c>
      <c r="H162">
        <v>60</v>
      </c>
      <c r="I162" t="str">
        <f t="shared" si="8"/>
        <v>Complete</v>
      </c>
      <c r="J162" s="8">
        <f>IF(_xlfn.XLOOKUP(A162,POTracking!$A:$A,POTracking!$D:$D,"")=0,"",_xlfn.XLOOKUP(A162,POTracking!$A:$A,POTracking!$D:$D,""))</f>
        <v>45691</v>
      </c>
      <c r="K162" s="9">
        <f t="shared" si="9"/>
        <v>-2</v>
      </c>
      <c r="L162" t="str">
        <f t="shared" si="10"/>
        <v>On Time/Early</v>
      </c>
      <c r="M162" s="10">
        <f t="shared" si="11"/>
        <v>11</v>
      </c>
    </row>
    <row r="163" spans="1:13">
      <c r="A163" t="s">
        <v>714</v>
      </c>
      <c r="B163" t="s">
        <v>259</v>
      </c>
      <c r="C163" s="2">
        <v>45770</v>
      </c>
      <c r="D163" s="2">
        <v>45784</v>
      </c>
      <c r="E163" t="s">
        <v>558</v>
      </c>
      <c r="F163" t="s">
        <v>545</v>
      </c>
      <c r="G163" t="s">
        <v>546</v>
      </c>
      <c r="H163">
        <v>60</v>
      </c>
      <c r="I163" t="str">
        <f t="shared" si="8"/>
        <v>Monitor</v>
      </c>
      <c r="J163" s="8">
        <f>IF(_xlfn.XLOOKUP(A163,POTracking!$A:$A,POTracking!$D:$D,"")=0,"",_xlfn.XLOOKUP(A163,POTracking!$A:$A,POTracking!$D:$D,""))</f>
        <v>45798</v>
      </c>
      <c r="K163" s="9">
        <f t="shared" si="9"/>
        <v>14</v>
      </c>
      <c r="L163" t="str">
        <f t="shared" si="10"/>
        <v>Late</v>
      </c>
      <c r="M163" s="10">
        <f t="shared" si="11"/>
        <v>28</v>
      </c>
    </row>
    <row r="164" spans="1:13">
      <c r="A164" t="s">
        <v>715</v>
      </c>
      <c r="B164" t="s">
        <v>263</v>
      </c>
      <c r="C164" s="2">
        <v>46015</v>
      </c>
      <c r="D164" s="2">
        <v>46031</v>
      </c>
      <c r="E164" t="s">
        <v>558</v>
      </c>
      <c r="F164" t="s">
        <v>545</v>
      </c>
      <c r="G164" t="s">
        <v>556</v>
      </c>
      <c r="H164">
        <v>30</v>
      </c>
      <c r="I164" t="str">
        <f t="shared" si="8"/>
        <v>Monitor</v>
      </c>
      <c r="J164" s="8" t="str">
        <f>IF(_xlfn.XLOOKUP(A164,POTracking!$A:$A,POTracking!$D:$D,"")=0,"",_xlfn.XLOOKUP(A164,POTracking!$A:$A,POTracking!$D:$D,""))</f>
        <v/>
      </c>
      <c r="K164" s="9" t="str">
        <f t="shared" si="9"/>
        <v/>
      </c>
      <c r="L164" t="str">
        <f t="shared" si="10"/>
        <v>Not Yet Received</v>
      </c>
      <c r="M164" s="10" t="str">
        <f t="shared" si="11"/>
        <v/>
      </c>
    </row>
    <row r="165" spans="1:13">
      <c r="A165" t="s">
        <v>716</v>
      </c>
      <c r="B165" t="s">
        <v>282</v>
      </c>
      <c r="C165" s="2">
        <v>45932</v>
      </c>
      <c r="D165" s="2">
        <v>45955</v>
      </c>
      <c r="E165" t="s">
        <v>548</v>
      </c>
      <c r="F165" t="s">
        <v>545</v>
      </c>
      <c r="G165" t="s">
        <v>546</v>
      </c>
      <c r="H165">
        <v>60</v>
      </c>
      <c r="I165" t="str">
        <f t="shared" si="8"/>
        <v>Complete</v>
      </c>
      <c r="J165" s="8">
        <f>IF(_xlfn.XLOOKUP(A165,POTracking!$A:$A,POTracking!$D:$D,"")=0,"",_xlfn.XLOOKUP(A165,POTracking!$A:$A,POTracking!$D:$D,""))</f>
        <v>45955</v>
      </c>
      <c r="K165" s="9">
        <f t="shared" si="9"/>
        <v>0</v>
      </c>
      <c r="L165" t="str">
        <f t="shared" si="10"/>
        <v>On Time/Early</v>
      </c>
      <c r="M165" s="10">
        <f t="shared" si="11"/>
        <v>23</v>
      </c>
    </row>
    <row r="166" spans="1:13">
      <c r="A166" t="s">
        <v>717</v>
      </c>
      <c r="B166" t="s">
        <v>272</v>
      </c>
      <c r="C166" s="2">
        <v>45837</v>
      </c>
      <c r="D166" s="2">
        <v>45859</v>
      </c>
      <c r="E166" t="s">
        <v>548</v>
      </c>
      <c r="F166" t="s">
        <v>545</v>
      </c>
      <c r="G166" t="s">
        <v>561</v>
      </c>
      <c r="H166">
        <v>30</v>
      </c>
      <c r="I166" t="str">
        <f t="shared" si="8"/>
        <v>Complete</v>
      </c>
      <c r="J166" s="8">
        <f>IF(_xlfn.XLOOKUP(A166,POTracking!$A:$A,POTracking!$D:$D,"")=0,"",_xlfn.XLOOKUP(A166,POTracking!$A:$A,POTracking!$D:$D,""))</f>
        <v>45865</v>
      </c>
      <c r="K166" s="9">
        <f t="shared" si="9"/>
        <v>6</v>
      </c>
      <c r="L166" t="str">
        <f t="shared" si="10"/>
        <v>Late</v>
      </c>
      <c r="M166" s="10">
        <f t="shared" si="11"/>
        <v>28</v>
      </c>
    </row>
    <row r="167" spans="1:13">
      <c r="A167" t="s">
        <v>718</v>
      </c>
      <c r="B167" t="s">
        <v>266</v>
      </c>
      <c r="C167" s="2">
        <v>45681</v>
      </c>
      <c r="D167" s="2">
        <v>45702</v>
      </c>
      <c r="E167" t="s">
        <v>548</v>
      </c>
      <c r="F167" t="s">
        <v>545</v>
      </c>
      <c r="G167" t="s">
        <v>561</v>
      </c>
      <c r="H167">
        <v>30</v>
      </c>
      <c r="I167" t="str">
        <f t="shared" si="8"/>
        <v>Complete</v>
      </c>
      <c r="J167" s="8">
        <f>IF(_xlfn.XLOOKUP(A167,POTracking!$A:$A,POTracking!$D:$D,"")=0,"",_xlfn.XLOOKUP(A167,POTracking!$A:$A,POTracking!$D:$D,""))</f>
        <v>45713</v>
      </c>
      <c r="K167" s="9">
        <f t="shared" si="9"/>
        <v>11</v>
      </c>
      <c r="L167" t="str">
        <f t="shared" si="10"/>
        <v>Late</v>
      </c>
      <c r="M167" s="10">
        <f t="shared" si="11"/>
        <v>32</v>
      </c>
    </row>
    <row r="168" spans="1:13">
      <c r="A168" t="s">
        <v>719</v>
      </c>
      <c r="B168" t="s">
        <v>272</v>
      </c>
      <c r="C168" s="2">
        <v>45937</v>
      </c>
      <c r="D168" s="2">
        <v>45950</v>
      </c>
      <c r="E168" t="s">
        <v>548</v>
      </c>
      <c r="F168" t="s">
        <v>545</v>
      </c>
      <c r="G168" t="s">
        <v>552</v>
      </c>
      <c r="H168">
        <v>60</v>
      </c>
      <c r="I168" t="str">
        <f t="shared" si="8"/>
        <v>Complete</v>
      </c>
      <c r="J168" s="8">
        <f>IF(_xlfn.XLOOKUP(A168,POTracking!$A:$A,POTracking!$D:$D,"")=0,"",_xlfn.XLOOKUP(A168,POTracking!$A:$A,POTracking!$D:$D,""))</f>
        <v>45943</v>
      </c>
      <c r="K168" s="9">
        <f t="shared" si="9"/>
        <v>-7</v>
      </c>
      <c r="L168" t="str">
        <f t="shared" si="10"/>
        <v>On Time/Early</v>
      </c>
      <c r="M168" s="10">
        <f t="shared" si="11"/>
        <v>6</v>
      </c>
    </row>
    <row r="169" spans="1:13">
      <c r="A169" t="s">
        <v>720</v>
      </c>
      <c r="B169" t="s">
        <v>270</v>
      </c>
      <c r="C169" s="2">
        <v>46001</v>
      </c>
      <c r="D169" s="2">
        <v>46025</v>
      </c>
      <c r="E169" t="s">
        <v>551</v>
      </c>
      <c r="F169" t="s">
        <v>545</v>
      </c>
      <c r="G169" t="s">
        <v>546</v>
      </c>
      <c r="H169">
        <v>60</v>
      </c>
      <c r="I169" t="str">
        <f t="shared" si="8"/>
        <v>Urgent Follow-Up</v>
      </c>
      <c r="J169" s="8" t="str">
        <f>IF(_xlfn.XLOOKUP(A169,POTracking!$A:$A,POTracking!$D:$D,"")=0,"",_xlfn.XLOOKUP(A169,POTracking!$A:$A,POTracking!$D:$D,""))</f>
        <v/>
      </c>
      <c r="K169" s="9" t="str">
        <f t="shared" si="9"/>
        <v/>
      </c>
      <c r="L169" t="str">
        <f t="shared" si="10"/>
        <v>Not Yet Received</v>
      </c>
      <c r="M169" s="10" t="str">
        <f t="shared" si="11"/>
        <v/>
      </c>
    </row>
    <row r="170" spans="1:13">
      <c r="A170" t="s">
        <v>721</v>
      </c>
      <c r="B170" t="s">
        <v>268</v>
      </c>
      <c r="C170" s="2">
        <v>46016</v>
      </c>
      <c r="D170" s="2">
        <v>46026</v>
      </c>
      <c r="E170" t="s">
        <v>544</v>
      </c>
      <c r="F170" t="s">
        <v>545</v>
      </c>
      <c r="G170" t="s">
        <v>556</v>
      </c>
      <c r="H170">
        <v>60</v>
      </c>
      <c r="I170" t="str">
        <f t="shared" si="8"/>
        <v>Monitor</v>
      </c>
      <c r="J170" s="8" t="str">
        <f>IF(_xlfn.XLOOKUP(A170,POTracking!$A:$A,POTracking!$D:$D,"")=0,"",_xlfn.XLOOKUP(A170,POTracking!$A:$A,POTracking!$D:$D,""))</f>
        <v/>
      </c>
      <c r="K170" s="9" t="str">
        <f t="shared" si="9"/>
        <v/>
      </c>
      <c r="L170" t="str">
        <f t="shared" si="10"/>
        <v>Not Yet Received</v>
      </c>
      <c r="M170" s="10" t="str">
        <f t="shared" si="11"/>
        <v/>
      </c>
    </row>
    <row r="171" spans="1:13">
      <c r="A171" t="s">
        <v>722</v>
      </c>
      <c r="B171" t="s">
        <v>286</v>
      </c>
      <c r="C171" s="2">
        <v>45734</v>
      </c>
      <c r="D171" s="2">
        <v>45743</v>
      </c>
      <c r="E171" t="s">
        <v>551</v>
      </c>
      <c r="F171" t="s">
        <v>545</v>
      </c>
      <c r="G171" t="s">
        <v>552</v>
      </c>
      <c r="H171">
        <v>30</v>
      </c>
      <c r="I171" t="str">
        <f t="shared" si="8"/>
        <v>Urgent Follow-Up</v>
      </c>
      <c r="J171" s="8" t="str">
        <f>IF(_xlfn.XLOOKUP(A171,POTracking!$A:$A,POTracking!$D:$D,"")=0,"",_xlfn.XLOOKUP(A171,POTracking!$A:$A,POTracking!$D:$D,""))</f>
        <v/>
      </c>
      <c r="K171" s="9" t="str">
        <f t="shared" si="9"/>
        <v/>
      </c>
      <c r="L171" t="str">
        <f t="shared" si="10"/>
        <v>Not Yet Received</v>
      </c>
      <c r="M171" s="10" t="str">
        <f t="shared" si="11"/>
        <v/>
      </c>
    </row>
    <row r="172" spans="1:13">
      <c r="A172" t="s">
        <v>723</v>
      </c>
      <c r="B172" t="s">
        <v>259</v>
      </c>
      <c r="C172" s="2">
        <v>45718</v>
      </c>
      <c r="D172" s="2">
        <v>45746</v>
      </c>
      <c r="E172" t="s">
        <v>558</v>
      </c>
      <c r="F172" t="s">
        <v>545</v>
      </c>
      <c r="G172" t="s">
        <v>556</v>
      </c>
      <c r="H172">
        <v>60</v>
      </c>
      <c r="I172" t="str">
        <f t="shared" si="8"/>
        <v>Monitor</v>
      </c>
      <c r="J172" s="8">
        <f>IF(_xlfn.XLOOKUP(A172,POTracking!$A:$A,POTracking!$D:$D,"")=0,"",_xlfn.XLOOKUP(A172,POTracking!$A:$A,POTracking!$D:$D,""))</f>
        <v>45752</v>
      </c>
      <c r="K172" s="9">
        <f t="shared" si="9"/>
        <v>6</v>
      </c>
      <c r="L172" t="str">
        <f t="shared" si="10"/>
        <v>Late</v>
      </c>
      <c r="M172" s="10">
        <f t="shared" si="11"/>
        <v>34</v>
      </c>
    </row>
    <row r="173" spans="1:13">
      <c r="A173" t="s">
        <v>724</v>
      </c>
      <c r="B173" t="s">
        <v>268</v>
      </c>
      <c r="C173" s="2">
        <v>45749</v>
      </c>
      <c r="D173" s="2">
        <v>45756</v>
      </c>
      <c r="E173" t="s">
        <v>548</v>
      </c>
      <c r="F173" t="s">
        <v>545</v>
      </c>
      <c r="G173" t="s">
        <v>561</v>
      </c>
      <c r="H173">
        <v>60</v>
      </c>
      <c r="I173" t="str">
        <f t="shared" si="8"/>
        <v>Complete</v>
      </c>
      <c r="J173" s="8">
        <f>IF(_xlfn.XLOOKUP(A173,POTracking!$A:$A,POTracking!$D:$D,"")=0,"",_xlfn.XLOOKUP(A173,POTracking!$A:$A,POTracking!$D:$D,""))</f>
        <v>45749</v>
      </c>
      <c r="K173" s="9">
        <f t="shared" si="9"/>
        <v>-7</v>
      </c>
      <c r="L173" t="str">
        <f t="shared" si="10"/>
        <v>On Time/Early</v>
      </c>
      <c r="M173" s="10">
        <f t="shared" si="11"/>
        <v>0</v>
      </c>
    </row>
    <row r="174" spans="1:13">
      <c r="A174" t="s">
        <v>725</v>
      </c>
      <c r="B174" t="s">
        <v>255</v>
      </c>
      <c r="C174" s="2">
        <v>45796</v>
      </c>
      <c r="D174" s="2">
        <v>45806</v>
      </c>
      <c r="E174" t="s">
        <v>548</v>
      </c>
      <c r="F174" t="s">
        <v>545</v>
      </c>
      <c r="G174" t="s">
        <v>561</v>
      </c>
      <c r="H174">
        <v>45</v>
      </c>
      <c r="I174" t="str">
        <f t="shared" si="8"/>
        <v>Complete</v>
      </c>
      <c r="J174" s="8">
        <f>IF(_xlfn.XLOOKUP(A174,POTracking!$A:$A,POTracking!$D:$D,"")=0,"",_xlfn.XLOOKUP(A174,POTracking!$A:$A,POTracking!$D:$D,""))</f>
        <v>45794</v>
      </c>
      <c r="K174" s="9">
        <f t="shared" si="9"/>
        <v>-12</v>
      </c>
      <c r="L174" t="str">
        <f t="shared" si="10"/>
        <v>On Time/Early</v>
      </c>
      <c r="M174" s="10">
        <f t="shared" si="11"/>
        <v>-2</v>
      </c>
    </row>
    <row r="175" spans="1:13">
      <c r="A175" t="s">
        <v>726</v>
      </c>
      <c r="B175" t="s">
        <v>242</v>
      </c>
      <c r="C175" s="2">
        <v>45750</v>
      </c>
      <c r="D175" s="2">
        <v>45756</v>
      </c>
      <c r="E175" t="s">
        <v>544</v>
      </c>
      <c r="F175" t="s">
        <v>545</v>
      </c>
      <c r="G175" t="s">
        <v>561</v>
      </c>
      <c r="H175">
        <v>45</v>
      </c>
      <c r="I175" t="str">
        <f t="shared" si="8"/>
        <v>Monitor</v>
      </c>
      <c r="J175" s="8" t="str">
        <f>IF(_xlfn.XLOOKUP(A175,POTracking!$A:$A,POTracking!$D:$D,"")=0,"",_xlfn.XLOOKUP(A175,POTracking!$A:$A,POTracking!$D:$D,""))</f>
        <v/>
      </c>
      <c r="K175" s="9" t="str">
        <f t="shared" si="9"/>
        <v/>
      </c>
      <c r="L175" t="str">
        <f t="shared" si="10"/>
        <v>Not Yet Received</v>
      </c>
      <c r="M175" s="10" t="str">
        <f t="shared" si="11"/>
        <v/>
      </c>
    </row>
    <row r="176" spans="1:13">
      <c r="A176" t="s">
        <v>727</v>
      </c>
      <c r="B176" t="s">
        <v>261</v>
      </c>
      <c r="C176" s="2">
        <v>45821</v>
      </c>
      <c r="D176" s="2">
        <v>45845</v>
      </c>
      <c r="E176" t="s">
        <v>548</v>
      </c>
      <c r="F176" t="s">
        <v>545</v>
      </c>
      <c r="G176" t="s">
        <v>552</v>
      </c>
      <c r="H176">
        <v>60</v>
      </c>
      <c r="I176" t="str">
        <f t="shared" si="8"/>
        <v>Complete</v>
      </c>
      <c r="J176" s="8">
        <f>IF(_xlfn.XLOOKUP(A176,POTracking!$A:$A,POTracking!$D:$D,"")=0,"",_xlfn.XLOOKUP(A176,POTracking!$A:$A,POTracking!$D:$D,""))</f>
        <v>45845</v>
      </c>
      <c r="K176" s="9">
        <f t="shared" si="9"/>
        <v>0</v>
      </c>
      <c r="L176" t="str">
        <f t="shared" si="10"/>
        <v>On Time/Early</v>
      </c>
      <c r="M176" s="10">
        <f t="shared" si="11"/>
        <v>24</v>
      </c>
    </row>
    <row r="177" spans="1:13">
      <c r="A177" t="s">
        <v>728</v>
      </c>
      <c r="B177" t="s">
        <v>270</v>
      </c>
      <c r="C177" s="2">
        <v>45818</v>
      </c>
      <c r="D177" s="2">
        <v>45842</v>
      </c>
      <c r="E177" t="s">
        <v>548</v>
      </c>
      <c r="F177" t="s">
        <v>545</v>
      </c>
      <c r="G177" t="s">
        <v>549</v>
      </c>
      <c r="H177">
        <v>30</v>
      </c>
      <c r="I177" t="str">
        <f t="shared" si="8"/>
        <v>Complete</v>
      </c>
      <c r="J177" s="8">
        <f>IF(_xlfn.XLOOKUP(A177,POTracking!$A:$A,POTracking!$D:$D,"")=0,"",_xlfn.XLOOKUP(A177,POTracking!$A:$A,POTracking!$D:$D,""))</f>
        <v>45844</v>
      </c>
      <c r="K177" s="9">
        <f t="shared" si="9"/>
        <v>2</v>
      </c>
      <c r="L177" t="str">
        <f t="shared" si="10"/>
        <v>Late</v>
      </c>
      <c r="M177" s="10">
        <f t="shared" si="11"/>
        <v>26</v>
      </c>
    </row>
    <row r="178" spans="1:13">
      <c r="A178" t="s">
        <v>729</v>
      </c>
      <c r="B178" t="s">
        <v>274</v>
      </c>
      <c r="C178" s="2">
        <v>45932</v>
      </c>
      <c r="D178" s="2">
        <v>45942</v>
      </c>
      <c r="E178" t="s">
        <v>558</v>
      </c>
      <c r="F178" t="s">
        <v>545</v>
      </c>
      <c r="G178" t="s">
        <v>549</v>
      </c>
      <c r="H178">
        <v>45</v>
      </c>
      <c r="I178" t="str">
        <f t="shared" si="8"/>
        <v>Monitor</v>
      </c>
      <c r="J178" s="8" t="str">
        <f>IF(_xlfn.XLOOKUP(A178,POTracking!$A:$A,POTracking!$D:$D,"")=0,"",_xlfn.XLOOKUP(A178,POTracking!$A:$A,POTracking!$D:$D,""))</f>
        <v/>
      </c>
      <c r="K178" s="9" t="str">
        <f t="shared" si="9"/>
        <v/>
      </c>
      <c r="L178" t="str">
        <f t="shared" si="10"/>
        <v>Not Yet Received</v>
      </c>
      <c r="M178" s="10" t="str">
        <f t="shared" si="11"/>
        <v/>
      </c>
    </row>
    <row r="179" spans="1:13">
      <c r="A179" t="s">
        <v>730</v>
      </c>
      <c r="B179" t="s">
        <v>259</v>
      </c>
      <c r="C179" s="2">
        <v>45875</v>
      </c>
      <c r="D179" s="2">
        <v>45889</v>
      </c>
      <c r="E179" t="s">
        <v>558</v>
      </c>
      <c r="F179" t="s">
        <v>545</v>
      </c>
      <c r="G179" t="s">
        <v>546</v>
      </c>
      <c r="H179">
        <v>60</v>
      </c>
      <c r="I179" t="str">
        <f t="shared" si="8"/>
        <v>Monitor</v>
      </c>
      <c r="J179" s="8" t="str">
        <f>IF(_xlfn.XLOOKUP(A179,POTracking!$A:$A,POTracking!$D:$D,"")=0,"",_xlfn.XLOOKUP(A179,POTracking!$A:$A,POTracking!$D:$D,""))</f>
        <v/>
      </c>
      <c r="K179" s="9" t="str">
        <f t="shared" si="9"/>
        <v/>
      </c>
      <c r="L179" t="str">
        <f t="shared" si="10"/>
        <v>Not Yet Received</v>
      </c>
      <c r="M179" s="10" t="str">
        <f t="shared" si="11"/>
        <v/>
      </c>
    </row>
    <row r="180" spans="1:13">
      <c r="A180" t="s">
        <v>731</v>
      </c>
      <c r="B180" t="s">
        <v>263</v>
      </c>
      <c r="C180" s="2">
        <v>45829</v>
      </c>
      <c r="D180" s="2">
        <v>45835</v>
      </c>
      <c r="E180" t="s">
        <v>544</v>
      </c>
      <c r="F180" t="s">
        <v>545</v>
      </c>
      <c r="G180" t="s">
        <v>552</v>
      </c>
      <c r="H180">
        <v>30</v>
      </c>
      <c r="I180" t="str">
        <f t="shared" si="8"/>
        <v>Monitor</v>
      </c>
      <c r="J180" s="8" t="str">
        <f>IF(_xlfn.XLOOKUP(A180,POTracking!$A:$A,POTracking!$D:$D,"")=0,"",_xlfn.XLOOKUP(A180,POTracking!$A:$A,POTracking!$D:$D,""))</f>
        <v/>
      </c>
      <c r="K180" s="9" t="str">
        <f t="shared" si="9"/>
        <v/>
      </c>
      <c r="L180" t="str">
        <f t="shared" si="10"/>
        <v>Not Yet Received</v>
      </c>
      <c r="M180" s="10" t="str">
        <f t="shared" si="11"/>
        <v/>
      </c>
    </row>
    <row r="181" spans="1:13">
      <c r="A181" t="s">
        <v>732</v>
      </c>
      <c r="B181" t="s">
        <v>270</v>
      </c>
      <c r="C181" s="2">
        <v>45778</v>
      </c>
      <c r="D181" s="2">
        <v>45784</v>
      </c>
      <c r="E181" t="s">
        <v>548</v>
      </c>
      <c r="F181" t="s">
        <v>545</v>
      </c>
      <c r="G181" t="s">
        <v>549</v>
      </c>
      <c r="H181">
        <v>60</v>
      </c>
      <c r="I181" t="str">
        <f t="shared" si="8"/>
        <v>Complete</v>
      </c>
      <c r="J181" s="8">
        <f>IF(_xlfn.XLOOKUP(A181,POTracking!$A:$A,POTracking!$D:$D,"")=0,"",_xlfn.XLOOKUP(A181,POTracking!$A:$A,POTracking!$D:$D,""))</f>
        <v>45785</v>
      </c>
      <c r="K181" s="9">
        <f t="shared" si="9"/>
        <v>1</v>
      </c>
      <c r="L181" t="str">
        <f t="shared" si="10"/>
        <v>Late</v>
      </c>
      <c r="M181" s="10">
        <f t="shared" si="11"/>
        <v>7</v>
      </c>
    </row>
    <row r="182" spans="1:13">
      <c r="A182" t="s">
        <v>733</v>
      </c>
      <c r="B182" t="s">
        <v>286</v>
      </c>
      <c r="C182" s="2">
        <v>45906</v>
      </c>
      <c r="D182" s="2">
        <v>45908</v>
      </c>
      <c r="E182" t="s">
        <v>548</v>
      </c>
      <c r="F182" t="s">
        <v>545</v>
      </c>
      <c r="G182" t="s">
        <v>561</v>
      </c>
      <c r="H182">
        <v>30</v>
      </c>
      <c r="I182" t="str">
        <f t="shared" si="8"/>
        <v>Complete</v>
      </c>
      <c r="J182" s="8">
        <f>IF(_xlfn.XLOOKUP(A182,POTracking!$A:$A,POTracking!$D:$D,"")=0,"",_xlfn.XLOOKUP(A182,POTracking!$A:$A,POTracking!$D:$D,""))</f>
        <v>45911</v>
      </c>
      <c r="K182" s="9">
        <f t="shared" si="9"/>
        <v>3</v>
      </c>
      <c r="L182" t="str">
        <f t="shared" si="10"/>
        <v>Late</v>
      </c>
      <c r="M182" s="10">
        <f t="shared" si="11"/>
        <v>5</v>
      </c>
    </row>
    <row r="183" spans="1:13">
      <c r="A183" t="s">
        <v>734</v>
      </c>
      <c r="B183" t="s">
        <v>242</v>
      </c>
      <c r="C183" s="2">
        <v>45873</v>
      </c>
      <c r="D183" s="2">
        <v>45885</v>
      </c>
      <c r="E183" t="s">
        <v>548</v>
      </c>
      <c r="F183" t="s">
        <v>545</v>
      </c>
      <c r="G183" t="s">
        <v>556</v>
      </c>
      <c r="H183">
        <v>30</v>
      </c>
      <c r="I183" t="str">
        <f t="shared" si="8"/>
        <v>Complete</v>
      </c>
      <c r="J183" s="8">
        <f>IF(_xlfn.XLOOKUP(A183,POTracking!$A:$A,POTracking!$D:$D,"")=0,"",_xlfn.XLOOKUP(A183,POTracking!$A:$A,POTracking!$D:$D,""))</f>
        <v>45900</v>
      </c>
      <c r="K183" s="9">
        <f t="shared" si="9"/>
        <v>15</v>
      </c>
      <c r="L183" t="str">
        <f t="shared" si="10"/>
        <v>Late</v>
      </c>
      <c r="M183" s="10">
        <f t="shared" si="11"/>
        <v>27</v>
      </c>
    </row>
    <row r="184" spans="1:13">
      <c r="A184" t="s">
        <v>735</v>
      </c>
      <c r="B184" t="s">
        <v>286</v>
      </c>
      <c r="C184" s="2">
        <v>45861</v>
      </c>
      <c r="D184" s="2">
        <v>45863</v>
      </c>
      <c r="E184" t="s">
        <v>548</v>
      </c>
      <c r="F184" t="s">
        <v>545</v>
      </c>
      <c r="G184" t="s">
        <v>549</v>
      </c>
      <c r="H184">
        <v>60</v>
      </c>
      <c r="I184" t="str">
        <f t="shared" si="8"/>
        <v>Complete</v>
      </c>
      <c r="J184" s="8">
        <f>IF(_xlfn.XLOOKUP(A184,POTracking!$A:$A,POTracking!$D:$D,"")=0,"",_xlfn.XLOOKUP(A184,POTracking!$A:$A,POTracking!$D:$D,""))</f>
        <v>45876</v>
      </c>
      <c r="K184" s="9">
        <f t="shared" si="9"/>
        <v>13</v>
      </c>
      <c r="L184" t="str">
        <f t="shared" si="10"/>
        <v>Late</v>
      </c>
      <c r="M184" s="10">
        <f t="shared" si="11"/>
        <v>15</v>
      </c>
    </row>
    <row r="185" spans="1:13">
      <c r="A185" t="s">
        <v>736</v>
      </c>
      <c r="B185" t="s">
        <v>255</v>
      </c>
      <c r="C185" s="2">
        <v>45971</v>
      </c>
      <c r="D185" s="2">
        <v>46002</v>
      </c>
      <c r="E185" t="s">
        <v>551</v>
      </c>
      <c r="F185" t="s">
        <v>545</v>
      </c>
      <c r="G185" t="s">
        <v>552</v>
      </c>
      <c r="H185">
        <v>30</v>
      </c>
      <c r="I185" t="str">
        <f t="shared" si="8"/>
        <v>Urgent Follow-Up</v>
      </c>
      <c r="J185" s="8" t="str">
        <f>IF(_xlfn.XLOOKUP(A185,POTracking!$A:$A,POTracking!$D:$D,"")=0,"",_xlfn.XLOOKUP(A185,POTracking!$A:$A,POTracking!$D:$D,""))</f>
        <v/>
      </c>
      <c r="K185" s="9" t="str">
        <f t="shared" si="9"/>
        <v/>
      </c>
      <c r="L185" t="str">
        <f t="shared" si="10"/>
        <v>Not Yet Received</v>
      </c>
      <c r="M185" s="10" t="str">
        <f t="shared" si="11"/>
        <v/>
      </c>
    </row>
    <row r="186" spans="1:13">
      <c r="A186" t="s">
        <v>737</v>
      </c>
      <c r="B186" t="s">
        <v>242</v>
      </c>
      <c r="C186" s="2">
        <v>45855</v>
      </c>
      <c r="D186" s="2">
        <v>45890</v>
      </c>
      <c r="E186" t="s">
        <v>548</v>
      </c>
      <c r="F186" t="s">
        <v>545</v>
      </c>
      <c r="G186" t="s">
        <v>552</v>
      </c>
      <c r="H186">
        <v>45</v>
      </c>
      <c r="I186" t="str">
        <f t="shared" si="8"/>
        <v>Complete</v>
      </c>
      <c r="J186" s="8">
        <f>IF(_xlfn.XLOOKUP(A186,POTracking!$A:$A,POTracking!$D:$D,"")=0,"",_xlfn.XLOOKUP(A186,POTracking!$A:$A,POTracking!$D:$D,""))</f>
        <v>45894</v>
      </c>
      <c r="K186" s="9">
        <f t="shared" si="9"/>
        <v>4</v>
      </c>
      <c r="L186" t="str">
        <f t="shared" si="10"/>
        <v>Late</v>
      </c>
      <c r="M186" s="10">
        <f t="shared" si="11"/>
        <v>39</v>
      </c>
    </row>
    <row r="187" spans="1:13">
      <c r="A187" t="s">
        <v>738</v>
      </c>
      <c r="B187" t="s">
        <v>266</v>
      </c>
      <c r="C187" s="2">
        <v>45728</v>
      </c>
      <c r="D187" s="2">
        <v>45742</v>
      </c>
      <c r="E187" t="s">
        <v>544</v>
      </c>
      <c r="F187" t="s">
        <v>545</v>
      </c>
      <c r="G187" t="s">
        <v>556</v>
      </c>
      <c r="H187">
        <v>45</v>
      </c>
      <c r="I187" t="str">
        <f t="shared" si="8"/>
        <v>Monitor</v>
      </c>
      <c r="J187" s="8" t="str">
        <f>IF(_xlfn.XLOOKUP(A187,POTracking!$A:$A,POTracking!$D:$D,"")=0,"",_xlfn.XLOOKUP(A187,POTracking!$A:$A,POTracking!$D:$D,""))</f>
        <v/>
      </c>
      <c r="K187" s="9" t="str">
        <f t="shared" si="9"/>
        <v/>
      </c>
      <c r="L187" t="str">
        <f t="shared" si="10"/>
        <v>Not Yet Received</v>
      </c>
      <c r="M187" s="10" t="str">
        <f t="shared" si="11"/>
        <v/>
      </c>
    </row>
    <row r="188" spans="1:13">
      <c r="A188" t="s">
        <v>739</v>
      </c>
      <c r="B188" t="s">
        <v>259</v>
      </c>
      <c r="C188" s="2">
        <v>45722</v>
      </c>
      <c r="D188" s="2">
        <v>45729</v>
      </c>
      <c r="E188" t="s">
        <v>548</v>
      </c>
      <c r="F188" t="s">
        <v>545</v>
      </c>
      <c r="G188" t="s">
        <v>552</v>
      </c>
      <c r="H188">
        <v>60</v>
      </c>
      <c r="I188" t="str">
        <f t="shared" si="8"/>
        <v>Complete</v>
      </c>
      <c r="J188" s="8">
        <f>IF(_xlfn.XLOOKUP(A188,POTracking!$A:$A,POTracking!$D:$D,"")=0,"",_xlfn.XLOOKUP(A188,POTracking!$A:$A,POTracking!$D:$D,""))</f>
        <v>45727</v>
      </c>
      <c r="K188" s="9">
        <f t="shared" si="9"/>
        <v>-2</v>
      </c>
      <c r="L188" t="str">
        <f t="shared" si="10"/>
        <v>On Time/Early</v>
      </c>
      <c r="M188" s="10">
        <f t="shared" si="11"/>
        <v>5</v>
      </c>
    </row>
    <row r="189" spans="1:13">
      <c r="A189" t="s">
        <v>740</v>
      </c>
      <c r="B189" t="s">
        <v>272</v>
      </c>
      <c r="C189" s="2">
        <v>45786</v>
      </c>
      <c r="D189" s="2">
        <v>45809</v>
      </c>
      <c r="E189" t="s">
        <v>548</v>
      </c>
      <c r="F189" t="s">
        <v>545</v>
      </c>
      <c r="G189" t="s">
        <v>549</v>
      </c>
      <c r="H189">
        <v>30</v>
      </c>
      <c r="I189" t="str">
        <f t="shared" si="8"/>
        <v>Complete</v>
      </c>
      <c r="J189" s="8">
        <f>IF(_xlfn.XLOOKUP(A189,POTracking!$A:$A,POTracking!$D:$D,"")=0,"",_xlfn.XLOOKUP(A189,POTracking!$A:$A,POTracking!$D:$D,""))</f>
        <v>45818</v>
      </c>
      <c r="K189" s="9">
        <f t="shared" si="9"/>
        <v>9</v>
      </c>
      <c r="L189" t="str">
        <f t="shared" si="10"/>
        <v>Late</v>
      </c>
      <c r="M189" s="10">
        <f t="shared" si="11"/>
        <v>32</v>
      </c>
    </row>
    <row r="190" spans="1:13">
      <c r="A190" t="s">
        <v>741</v>
      </c>
      <c r="B190" t="s">
        <v>286</v>
      </c>
      <c r="C190" s="2">
        <v>45968</v>
      </c>
      <c r="D190" s="2">
        <v>45996</v>
      </c>
      <c r="E190" t="s">
        <v>548</v>
      </c>
      <c r="F190" t="s">
        <v>545</v>
      </c>
      <c r="G190" t="s">
        <v>561</v>
      </c>
      <c r="H190">
        <v>30</v>
      </c>
      <c r="I190" t="str">
        <f t="shared" si="8"/>
        <v>Complete</v>
      </c>
      <c r="J190" s="8">
        <f>IF(_xlfn.XLOOKUP(A190,POTracking!$A:$A,POTracking!$D:$D,"")=0,"",_xlfn.XLOOKUP(A190,POTracking!$A:$A,POTracking!$D:$D,""))</f>
        <v>46004</v>
      </c>
      <c r="K190" s="9">
        <f t="shared" si="9"/>
        <v>8</v>
      </c>
      <c r="L190" t="str">
        <f t="shared" si="10"/>
        <v>Late</v>
      </c>
      <c r="M190" s="10">
        <f t="shared" si="11"/>
        <v>36</v>
      </c>
    </row>
    <row r="191" spans="1:13">
      <c r="A191" t="s">
        <v>742</v>
      </c>
      <c r="B191" t="s">
        <v>242</v>
      </c>
      <c r="C191" s="2">
        <v>45686</v>
      </c>
      <c r="D191" s="2">
        <v>45721</v>
      </c>
      <c r="E191" t="s">
        <v>548</v>
      </c>
      <c r="F191" t="s">
        <v>545</v>
      </c>
      <c r="G191" t="s">
        <v>556</v>
      </c>
      <c r="H191">
        <v>30</v>
      </c>
      <c r="I191" t="str">
        <f t="shared" si="8"/>
        <v>Complete</v>
      </c>
      <c r="J191" s="8">
        <f>IF(_xlfn.XLOOKUP(A191,POTracking!$A:$A,POTracking!$D:$D,"")=0,"",_xlfn.XLOOKUP(A191,POTracking!$A:$A,POTracking!$D:$D,""))</f>
        <v>45722</v>
      </c>
      <c r="K191" s="9">
        <f t="shared" si="9"/>
        <v>1</v>
      </c>
      <c r="L191" t="str">
        <f t="shared" si="10"/>
        <v>Late</v>
      </c>
      <c r="M191" s="10">
        <f t="shared" si="11"/>
        <v>36</v>
      </c>
    </row>
    <row r="192" spans="1:13">
      <c r="A192" t="s">
        <v>743</v>
      </c>
      <c r="B192" t="s">
        <v>259</v>
      </c>
      <c r="C192" s="2">
        <v>45844</v>
      </c>
      <c r="D192" s="2">
        <v>45858</v>
      </c>
      <c r="E192" t="s">
        <v>548</v>
      </c>
      <c r="F192" t="s">
        <v>545</v>
      </c>
      <c r="G192" t="s">
        <v>556</v>
      </c>
      <c r="H192">
        <v>60</v>
      </c>
      <c r="I192" t="str">
        <f t="shared" si="8"/>
        <v>Complete</v>
      </c>
      <c r="J192" s="8">
        <f>IF(_xlfn.XLOOKUP(A192,POTracking!$A:$A,POTracking!$D:$D,"")=0,"",_xlfn.XLOOKUP(A192,POTracking!$A:$A,POTracking!$D:$D,""))</f>
        <v>45866</v>
      </c>
      <c r="K192" s="9">
        <f t="shared" si="9"/>
        <v>8</v>
      </c>
      <c r="L192" t="str">
        <f t="shared" si="10"/>
        <v>Late</v>
      </c>
      <c r="M192" s="10">
        <f t="shared" si="11"/>
        <v>22</v>
      </c>
    </row>
    <row r="193" spans="1:13">
      <c r="A193" t="s">
        <v>744</v>
      </c>
      <c r="B193" t="s">
        <v>247</v>
      </c>
      <c r="C193" s="2">
        <v>45763</v>
      </c>
      <c r="D193" s="2">
        <v>45767</v>
      </c>
      <c r="E193" t="s">
        <v>548</v>
      </c>
      <c r="F193" t="s">
        <v>545</v>
      </c>
      <c r="G193" t="s">
        <v>549</v>
      </c>
      <c r="H193">
        <v>60</v>
      </c>
      <c r="I193" t="str">
        <f t="shared" si="8"/>
        <v>Complete</v>
      </c>
      <c r="J193" s="8">
        <f>IF(_xlfn.XLOOKUP(A193,POTracking!$A:$A,POTracking!$D:$D,"")=0,"",_xlfn.XLOOKUP(A193,POTracking!$A:$A,POTracking!$D:$D,""))</f>
        <v>45772</v>
      </c>
      <c r="K193" s="9">
        <f t="shared" si="9"/>
        <v>5</v>
      </c>
      <c r="L193" t="str">
        <f t="shared" si="10"/>
        <v>Late</v>
      </c>
      <c r="M193" s="10">
        <f t="shared" si="11"/>
        <v>9</v>
      </c>
    </row>
    <row r="194" spans="1:13">
      <c r="A194" t="s">
        <v>745</v>
      </c>
      <c r="B194" t="s">
        <v>270</v>
      </c>
      <c r="C194" s="2">
        <v>45706</v>
      </c>
      <c r="D194" s="2">
        <v>45728</v>
      </c>
      <c r="E194" t="s">
        <v>544</v>
      </c>
      <c r="F194" t="s">
        <v>545</v>
      </c>
      <c r="G194" t="s">
        <v>546</v>
      </c>
      <c r="H194">
        <v>30</v>
      </c>
      <c r="I194" t="str">
        <f t="shared" si="8"/>
        <v>Monitor</v>
      </c>
      <c r="J194" s="8" t="str">
        <f>IF(_xlfn.XLOOKUP(A194,POTracking!$A:$A,POTracking!$D:$D,"")=0,"",_xlfn.XLOOKUP(A194,POTracking!$A:$A,POTracking!$D:$D,""))</f>
        <v/>
      </c>
      <c r="K194" s="9" t="str">
        <f t="shared" si="9"/>
        <v/>
      </c>
      <c r="L194" t="str">
        <f t="shared" si="10"/>
        <v>Not Yet Received</v>
      </c>
      <c r="M194" s="10" t="str">
        <f t="shared" si="11"/>
        <v/>
      </c>
    </row>
    <row r="195" spans="1:13">
      <c r="A195" t="s">
        <v>746</v>
      </c>
      <c r="B195" t="s">
        <v>261</v>
      </c>
      <c r="C195" s="2">
        <v>46019</v>
      </c>
      <c r="D195" s="2">
        <v>46035</v>
      </c>
      <c r="E195" t="s">
        <v>544</v>
      </c>
      <c r="F195" t="s">
        <v>545</v>
      </c>
      <c r="G195" t="s">
        <v>552</v>
      </c>
      <c r="H195">
        <v>30</v>
      </c>
      <c r="I195" t="str">
        <f t="shared" ref="I195:I258" si="12">IF(TRIM(E195)="Overdue","Urgent Follow-Up",IF(TRIM(E195)="Received","Complete",IF(OR(TRIM(E195)="Open",TRIM(E195)="Partially Received"),"Monitor","Check Status")))</f>
        <v>Monitor</v>
      </c>
      <c r="J195" s="8" t="str">
        <f>IF(_xlfn.XLOOKUP(A195,POTracking!$A:$A,POTracking!$D:$D,"")=0,"",_xlfn.XLOOKUP(A195,POTracking!$A:$A,POTracking!$D:$D,""))</f>
        <v/>
      </c>
      <c r="K195" s="9" t="str">
        <f t="shared" ref="K195:K258" si="13">IF(J195="","",J195-D195)</f>
        <v/>
      </c>
      <c r="L195" t="str">
        <f t="shared" ref="L195:L258" si="14">IF(J195="","Not Yet Received",IF(K195&lt;=0,"On Time/Early","Late"))</f>
        <v>Not Yet Received</v>
      </c>
      <c r="M195" s="10" t="str">
        <f t="shared" ref="M195:M258" si="15">IF(J195="","",J195-C195)</f>
        <v/>
      </c>
    </row>
    <row r="196" spans="1:13">
      <c r="A196" t="s">
        <v>747</v>
      </c>
      <c r="B196" t="s">
        <v>251</v>
      </c>
      <c r="C196" s="2">
        <v>45782</v>
      </c>
      <c r="D196" s="2">
        <v>45811</v>
      </c>
      <c r="E196" t="s">
        <v>548</v>
      </c>
      <c r="F196" t="s">
        <v>545</v>
      </c>
      <c r="G196" t="s">
        <v>552</v>
      </c>
      <c r="H196">
        <v>30</v>
      </c>
      <c r="I196" t="str">
        <f t="shared" si="12"/>
        <v>Complete</v>
      </c>
      <c r="J196" s="8">
        <f>IF(_xlfn.XLOOKUP(A196,POTracking!$A:$A,POTracking!$D:$D,"")=0,"",_xlfn.XLOOKUP(A196,POTracking!$A:$A,POTracking!$D:$D,""))</f>
        <v>45807</v>
      </c>
      <c r="K196" s="9">
        <f t="shared" si="13"/>
        <v>-4</v>
      </c>
      <c r="L196" t="str">
        <f t="shared" si="14"/>
        <v>On Time/Early</v>
      </c>
      <c r="M196" s="10">
        <f t="shared" si="15"/>
        <v>25</v>
      </c>
    </row>
    <row r="197" spans="1:13">
      <c r="A197" t="s">
        <v>748</v>
      </c>
      <c r="B197" t="s">
        <v>261</v>
      </c>
      <c r="C197" s="2">
        <v>45677</v>
      </c>
      <c r="D197" s="2">
        <v>45705</v>
      </c>
      <c r="E197" t="s">
        <v>548</v>
      </c>
      <c r="F197" t="s">
        <v>545</v>
      </c>
      <c r="G197" t="s">
        <v>549</v>
      </c>
      <c r="H197">
        <v>30</v>
      </c>
      <c r="I197" t="str">
        <f t="shared" si="12"/>
        <v>Complete</v>
      </c>
      <c r="J197" s="8">
        <f>IF(_xlfn.XLOOKUP(A197,POTracking!$A:$A,POTracking!$D:$D,"")=0,"",_xlfn.XLOOKUP(A197,POTracking!$A:$A,POTracking!$D:$D,""))</f>
        <v>45705</v>
      </c>
      <c r="K197" s="9">
        <f t="shared" si="13"/>
        <v>0</v>
      </c>
      <c r="L197" t="str">
        <f t="shared" si="14"/>
        <v>On Time/Early</v>
      </c>
      <c r="M197" s="10">
        <f t="shared" si="15"/>
        <v>28</v>
      </c>
    </row>
    <row r="198" spans="1:13">
      <c r="A198" t="s">
        <v>749</v>
      </c>
      <c r="B198" t="s">
        <v>278</v>
      </c>
      <c r="C198" s="2">
        <v>45851</v>
      </c>
      <c r="D198" s="2">
        <v>45855</v>
      </c>
      <c r="E198" t="s">
        <v>548</v>
      </c>
      <c r="F198" t="s">
        <v>545</v>
      </c>
      <c r="G198" t="s">
        <v>546</v>
      </c>
      <c r="H198">
        <v>30</v>
      </c>
      <c r="I198" t="str">
        <f t="shared" si="12"/>
        <v>Complete</v>
      </c>
      <c r="J198" s="8">
        <f>IF(_xlfn.XLOOKUP(A198,POTracking!$A:$A,POTracking!$D:$D,"")=0,"",_xlfn.XLOOKUP(A198,POTracking!$A:$A,POTracking!$D:$D,""))</f>
        <v>45859</v>
      </c>
      <c r="K198" s="9">
        <f t="shared" si="13"/>
        <v>4</v>
      </c>
      <c r="L198" t="str">
        <f t="shared" si="14"/>
        <v>Late</v>
      </c>
      <c r="M198" s="10">
        <f t="shared" si="15"/>
        <v>8</v>
      </c>
    </row>
    <row r="199" spans="1:13">
      <c r="A199" t="s">
        <v>750</v>
      </c>
      <c r="B199" t="s">
        <v>286</v>
      </c>
      <c r="C199" s="2">
        <v>45699</v>
      </c>
      <c r="D199" s="2">
        <v>45722</v>
      </c>
      <c r="E199" t="s">
        <v>548</v>
      </c>
      <c r="F199" t="s">
        <v>545</v>
      </c>
      <c r="G199" t="s">
        <v>549</v>
      </c>
      <c r="H199">
        <v>30</v>
      </c>
      <c r="I199" t="str">
        <f t="shared" si="12"/>
        <v>Complete</v>
      </c>
      <c r="J199" s="8">
        <f>IF(_xlfn.XLOOKUP(A199,POTracking!$A:$A,POTracking!$D:$D,"")=0,"",_xlfn.XLOOKUP(A199,POTracking!$A:$A,POTracking!$D:$D,""))</f>
        <v>45719</v>
      </c>
      <c r="K199" s="9">
        <f t="shared" si="13"/>
        <v>-3</v>
      </c>
      <c r="L199" t="str">
        <f t="shared" si="14"/>
        <v>On Time/Early</v>
      </c>
      <c r="M199" s="10">
        <f t="shared" si="15"/>
        <v>20</v>
      </c>
    </row>
    <row r="200" spans="1:13">
      <c r="A200" t="s">
        <v>751</v>
      </c>
      <c r="B200" t="s">
        <v>242</v>
      </c>
      <c r="C200" s="2">
        <v>45819</v>
      </c>
      <c r="D200" s="2">
        <v>45846</v>
      </c>
      <c r="E200" t="s">
        <v>548</v>
      </c>
      <c r="F200" t="s">
        <v>545</v>
      </c>
      <c r="G200" t="s">
        <v>561</v>
      </c>
      <c r="H200">
        <v>60</v>
      </c>
      <c r="I200" t="str">
        <f t="shared" si="12"/>
        <v>Complete</v>
      </c>
      <c r="J200" s="8">
        <f>IF(_xlfn.XLOOKUP(A200,POTracking!$A:$A,POTracking!$D:$D,"")=0,"",_xlfn.XLOOKUP(A200,POTracking!$A:$A,POTracking!$D:$D,""))</f>
        <v>45849</v>
      </c>
      <c r="K200" s="9">
        <f t="shared" si="13"/>
        <v>3</v>
      </c>
      <c r="L200" t="str">
        <f t="shared" si="14"/>
        <v>Late</v>
      </c>
      <c r="M200" s="10">
        <f t="shared" si="15"/>
        <v>30</v>
      </c>
    </row>
    <row r="201" spans="1:13">
      <c r="A201" t="s">
        <v>752</v>
      </c>
      <c r="B201" t="s">
        <v>268</v>
      </c>
      <c r="C201" s="2">
        <v>45826</v>
      </c>
      <c r="D201" s="2">
        <v>45836</v>
      </c>
      <c r="E201" t="s">
        <v>558</v>
      </c>
      <c r="F201" t="s">
        <v>545</v>
      </c>
      <c r="G201" t="s">
        <v>549</v>
      </c>
      <c r="H201">
        <v>30</v>
      </c>
      <c r="I201" t="str">
        <f t="shared" si="12"/>
        <v>Monitor</v>
      </c>
      <c r="J201" s="8" t="str">
        <f>IF(_xlfn.XLOOKUP(A201,POTracking!$A:$A,POTracking!$D:$D,"")=0,"",_xlfn.XLOOKUP(A201,POTracking!$A:$A,POTracking!$D:$D,""))</f>
        <v/>
      </c>
      <c r="K201" s="9" t="str">
        <f t="shared" si="13"/>
        <v/>
      </c>
      <c r="L201" t="str">
        <f t="shared" si="14"/>
        <v>Not Yet Received</v>
      </c>
      <c r="M201" s="10" t="str">
        <f t="shared" si="15"/>
        <v/>
      </c>
    </row>
    <row r="202" spans="1:13">
      <c r="A202" t="s">
        <v>753</v>
      </c>
      <c r="B202" t="s">
        <v>261</v>
      </c>
      <c r="C202" s="2">
        <v>45853</v>
      </c>
      <c r="D202" s="2">
        <v>45870</v>
      </c>
      <c r="E202" t="s">
        <v>548</v>
      </c>
      <c r="F202" t="s">
        <v>545</v>
      </c>
      <c r="G202" t="s">
        <v>552</v>
      </c>
      <c r="H202">
        <v>30</v>
      </c>
      <c r="I202" t="str">
        <f t="shared" si="12"/>
        <v>Complete</v>
      </c>
      <c r="J202" s="8">
        <f>IF(_xlfn.XLOOKUP(A202,POTracking!$A:$A,POTracking!$D:$D,"")=0,"",_xlfn.XLOOKUP(A202,POTracking!$A:$A,POTracking!$D:$D,""))</f>
        <v>45879</v>
      </c>
      <c r="K202" s="9">
        <f t="shared" si="13"/>
        <v>9</v>
      </c>
      <c r="L202" t="str">
        <f t="shared" si="14"/>
        <v>Late</v>
      </c>
      <c r="M202" s="10">
        <f t="shared" si="15"/>
        <v>26</v>
      </c>
    </row>
    <row r="203" spans="1:13">
      <c r="A203" t="s">
        <v>754</v>
      </c>
      <c r="B203" t="s">
        <v>236</v>
      </c>
      <c r="C203" s="2">
        <v>45824</v>
      </c>
      <c r="D203" s="2">
        <v>45833</v>
      </c>
      <c r="E203" t="s">
        <v>548</v>
      </c>
      <c r="F203" t="s">
        <v>545</v>
      </c>
      <c r="G203" t="s">
        <v>549</v>
      </c>
      <c r="H203">
        <v>30</v>
      </c>
      <c r="I203" t="str">
        <f t="shared" si="12"/>
        <v>Complete</v>
      </c>
      <c r="J203" s="8">
        <f>IF(_xlfn.XLOOKUP(A203,POTracking!$A:$A,POTracking!$D:$D,"")=0,"",_xlfn.XLOOKUP(A203,POTracking!$A:$A,POTracking!$D:$D,""))</f>
        <v>45836</v>
      </c>
      <c r="K203" s="9">
        <f t="shared" si="13"/>
        <v>3</v>
      </c>
      <c r="L203" t="str">
        <f t="shared" si="14"/>
        <v>Late</v>
      </c>
      <c r="M203" s="10">
        <f t="shared" si="15"/>
        <v>12</v>
      </c>
    </row>
    <row r="204" spans="1:13">
      <c r="A204" t="s">
        <v>755</v>
      </c>
      <c r="B204" t="s">
        <v>255</v>
      </c>
      <c r="C204" s="2">
        <v>45691</v>
      </c>
      <c r="D204" s="2">
        <v>45702</v>
      </c>
      <c r="E204" t="s">
        <v>544</v>
      </c>
      <c r="F204" t="s">
        <v>545</v>
      </c>
      <c r="G204" t="s">
        <v>556</v>
      </c>
      <c r="H204">
        <v>60</v>
      </c>
      <c r="I204" t="str">
        <f t="shared" si="12"/>
        <v>Monitor</v>
      </c>
      <c r="J204" s="8" t="str">
        <f>IF(_xlfn.XLOOKUP(A204,POTracking!$A:$A,POTracking!$D:$D,"")=0,"",_xlfn.XLOOKUP(A204,POTracking!$A:$A,POTracking!$D:$D,""))</f>
        <v/>
      </c>
      <c r="K204" s="9" t="str">
        <f t="shared" si="13"/>
        <v/>
      </c>
      <c r="L204" t="str">
        <f t="shared" si="14"/>
        <v>Not Yet Received</v>
      </c>
      <c r="M204" s="10" t="str">
        <f t="shared" si="15"/>
        <v/>
      </c>
    </row>
    <row r="205" spans="1:13">
      <c r="A205" t="s">
        <v>756</v>
      </c>
      <c r="B205" t="s">
        <v>286</v>
      </c>
      <c r="C205" s="2">
        <v>45990</v>
      </c>
      <c r="D205" s="2">
        <v>46013</v>
      </c>
      <c r="E205" t="s">
        <v>558</v>
      </c>
      <c r="F205" t="s">
        <v>545</v>
      </c>
      <c r="G205" t="s">
        <v>552</v>
      </c>
      <c r="H205">
        <v>60</v>
      </c>
      <c r="I205" t="str">
        <f t="shared" si="12"/>
        <v>Monitor</v>
      </c>
      <c r="J205" s="8">
        <f>IF(_xlfn.XLOOKUP(A205,POTracking!$A:$A,POTracking!$D:$D,"")=0,"",_xlfn.XLOOKUP(A205,POTracking!$A:$A,POTracking!$D:$D,""))</f>
        <v>46008</v>
      </c>
      <c r="K205" s="9">
        <f t="shared" si="13"/>
        <v>-5</v>
      </c>
      <c r="L205" t="str">
        <f t="shared" si="14"/>
        <v>On Time/Early</v>
      </c>
      <c r="M205" s="10">
        <f t="shared" si="15"/>
        <v>18</v>
      </c>
    </row>
    <row r="206" spans="1:13">
      <c r="A206" t="s">
        <v>757</v>
      </c>
      <c r="B206" t="s">
        <v>261</v>
      </c>
      <c r="C206" s="2">
        <v>45955</v>
      </c>
      <c r="D206" s="2">
        <v>45972</v>
      </c>
      <c r="E206" t="s">
        <v>548</v>
      </c>
      <c r="F206" t="s">
        <v>545</v>
      </c>
      <c r="G206" t="s">
        <v>561</v>
      </c>
      <c r="H206">
        <v>60</v>
      </c>
      <c r="I206" t="str">
        <f t="shared" si="12"/>
        <v>Complete</v>
      </c>
      <c r="J206" s="8">
        <f>IF(_xlfn.XLOOKUP(A206,POTracking!$A:$A,POTracking!$D:$D,"")=0,"",_xlfn.XLOOKUP(A206,POTracking!$A:$A,POTracking!$D:$D,""))</f>
        <v>45967</v>
      </c>
      <c r="K206" s="9">
        <f t="shared" si="13"/>
        <v>-5</v>
      </c>
      <c r="L206" t="str">
        <f t="shared" si="14"/>
        <v>On Time/Early</v>
      </c>
      <c r="M206" s="10">
        <f t="shared" si="15"/>
        <v>12</v>
      </c>
    </row>
    <row r="207" spans="1:13">
      <c r="A207" t="s">
        <v>758</v>
      </c>
      <c r="B207" t="s">
        <v>280</v>
      </c>
      <c r="C207" s="2">
        <v>45862</v>
      </c>
      <c r="D207" s="2">
        <v>45893</v>
      </c>
      <c r="E207" t="s">
        <v>548</v>
      </c>
      <c r="F207" t="s">
        <v>545</v>
      </c>
      <c r="G207" t="s">
        <v>561</v>
      </c>
      <c r="H207">
        <v>45</v>
      </c>
      <c r="I207" t="str">
        <f t="shared" si="12"/>
        <v>Complete</v>
      </c>
      <c r="J207" s="8">
        <f>IF(_xlfn.XLOOKUP(A207,POTracking!$A:$A,POTracking!$D:$D,"")=0,"",_xlfn.XLOOKUP(A207,POTracking!$A:$A,POTracking!$D:$D,""))</f>
        <v>45901</v>
      </c>
      <c r="K207" s="9">
        <f t="shared" si="13"/>
        <v>8</v>
      </c>
      <c r="L207" t="str">
        <f t="shared" si="14"/>
        <v>Late</v>
      </c>
      <c r="M207" s="10">
        <f t="shared" si="15"/>
        <v>39</v>
      </c>
    </row>
    <row r="208" spans="1:13">
      <c r="A208" t="s">
        <v>759</v>
      </c>
      <c r="B208" t="s">
        <v>278</v>
      </c>
      <c r="C208" s="2">
        <v>45872</v>
      </c>
      <c r="D208" s="2">
        <v>45901</v>
      </c>
      <c r="E208" t="s">
        <v>558</v>
      </c>
      <c r="F208" t="s">
        <v>545</v>
      </c>
      <c r="G208" t="s">
        <v>556</v>
      </c>
      <c r="H208">
        <v>45</v>
      </c>
      <c r="I208" t="str">
        <f t="shared" si="12"/>
        <v>Monitor</v>
      </c>
      <c r="J208" s="8">
        <f>IF(_xlfn.XLOOKUP(A208,POTracking!$A:$A,POTracking!$D:$D,"")=0,"",_xlfn.XLOOKUP(A208,POTracking!$A:$A,POTracking!$D:$D,""))</f>
        <v>45905</v>
      </c>
      <c r="K208" s="9">
        <f t="shared" si="13"/>
        <v>4</v>
      </c>
      <c r="L208" t="str">
        <f t="shared" si="14"/>
        <v>Late</v>
      </c>
      <c r="M208" s="10">
        <f t="shared" si="15"/>
        <v>33</v>
      </c>
    </row>
    <row r="209" spans="1:13">
      <c r="A209" t="s">
        <v>760</v>
      </c>
      <c r="B209" t="s">
        <v>286</v>
      </c>
      <c r="C209" s="2">
        <v>45902</v>
      </c>
      <c r="D209" s="2">
        <v>45919</v>
      </c>
      <c r="E209" t="s">
        <v>558</v>
      </c>
      <c r="F209" t="s">
        <v>545</v>
      </c>
      <c r="G209" t="s">
        <v>556</v>
      </c>
      <c r="H209">
        <v>60</v>
      </c>
      <c r="I209" t="str">
        <f t="shared" si="12"/>
        <v>Monitor</v>
      </c>
      <c r="J209" s="8">
        <f>IF(_xlfn.XLOOKUP(A209,POTracking!$A:$A,POTracking!$D:$D,"")=0,"",_xlfn.XLOOKUP(A209,POTracking!$A:$A,POTracking!$D:$D,""))</f>
        <v>45925</v>
      </c>
      <c r="K209" s="9">
        <f t="shared" si="13"/>
        <v>6</v>
      </c>
      <c r="L209" t="str">
        <f t="shared" si="14"/>
        <v>Late</v>
      </c>
      <c r="M209" s="10">
        <f t="shared" si="15"/>
        <v>23</v>
      </c>
    </row>
    <row r="210" spans="1:13">
      <c r="A210" t="s">
        <v>761</v>
      </c>
      <c r="B210" t="s">
        <v>266</v>
      </c>
      <c r="C210" s="2">
        <v>45934</v>
      </c>
      <c r="D210" s="2">
        <v>45939</v>
      </c>
      <c r="E210" t="s">
        <v>548</v>
      </c>
      <c r="F210" t="s">
        <v>545</v>
      </c>
      <c r="G210" t="s">
        <v>556</v>
      </c>
      <c r="H210">
        <v>45</v>
      </c>
      <c r="I210" t="str">
        <f t="shared" si="12"/>
        <v>Complete</v>
      </c>
      <c r="J210" s="8">
        <f>IF(_xlfn.XLOOKUP(A210,POTracking!$A:$A,POTracking!$D:$D,"")=0,"",_xlfn.XLOOKUP(A210,POTracking!$A:$A,POTracking!$D:$D,""))</f>
        <v>45940</v>
      </c>
      <c r="K210" s="9">
        <f t="shared" si="13"/>
        <v>1</v>
      </c>
      <c r="L210" t="str">
        <f t="shared" si="14"/>
        <v>Late</v>
      </c>
      <c r="M210" s="10">
        <f t="shared" si="15"/>
        <v>6</v>
      </c>
    </row>
    <row r="211" spans="1:13">
      <c r="A211" t="s">
        <v>762</v>
      </c>
      <c r="B211" t="s">
        <v>270</v>
      </c>
      <c r="C211" s="2">
        <v>45699</v>
      </c>
      <c r="D211" s="2">
        <v>45715</v>
      </c>
      <c r="E211" t="s">
        <v>548</v>
      </c>
      <c r="F211" t="s">
        <v>545</v>
      </c>
      <c r="G211" t="s">
        <v>561</v>
      </c>
      <c r="H211">
        <v>60</v>
      </c>
      <c r="I211" t="str">
        <f t="shared" si="12"/>
        <v>Complete</v>
      </c>
      <c r="J211" s="8">
        <f>IF(_xlfn.XLOOKUP(A211,POTracking!$A:$A,POTracking!$D:$D,"")=0,"",_xlfn.XLOOKUP(A211,POTracking!$A:$A,POTracking!$D:$D,""))</f>
        <v>45712</v>
      </c>
      <c r="K211" s="9">
        <f t="shared" si="13"/>
        <v>-3</v>
      </c>
      <c r="L211" t="str">
        <f t="shared" si="14"/>
        <v>On Time/Early</v>
      </c>
      <c r="M211" s="10">
        <f t="shared" si="15"/>
        <v>13</v>
      </c>
    </row>
    <row r="212" spans="1:13">
      <c r="A212" t="s">
        <v>763</v>
      </c>
      <c r="B212" t="s">
        <v>263</v>
      </c>
      <c r="C212" s="2">
        <v>45976</v>
      </c>
      <c r="D212" s="2">
        <v>45978</v>
      </c>
      <c r="E212" t="s">
        <v>548</v>
      </c>
      <c r="F212" t="s">
        <v>545</v>
      </c>
      <c r="G212" t="s">
        <v>546</v>
      </c>
      <c r="H212">
        <v>60</v>
      </c>
      <c r="I212" t="str">
        <f t="shared" si="12"/>
        <v>Complete</v>
      </c>
      <c r="J212" s="8">
        <f>IF(_xlfn.XLOOKUP(A212,POTracking!$A:$A,POTracking!$D:$D,"")=0,"",_xlfn.XLOOKUP(A212,POTracking!$A:$A,POTracking!$D:$D,""))</f>
        <v>45980</v>
      </c>
      <c r="K212" s="9">
        <f t="shared" si="13"/>
        <v>2</v>
      </c>
      <c r="L212" t="str">
        <f t="shared" si="14"/>
        <v>Late</v>
      </c>
      <c r="M212" s="10">
        <f t="shared" si="15"/>
        <v>4</v>
      </c>
    </row>
    <row r="213" spans="1:13">
      <c r="A213" t="s">
        <v>764</v>
      </c>
      <c r="B213" t="s">
        <v>268</v>
      </c>
      <c r="C213" s="2">
        <v>45676</v>
      </c>
      <c r="D213" s="2">
        <v>45684</v>
      </c>
      <c r="E213" t="s">
        <v>548</v>
      </c>
      <c r="F213" t="s">
        <v>545</v>
      </c>
      <c r="G213" t="s">
        <v>556</v>
      </c>
      <c r="H213">
        <v>45</v>
      </c>
      <c r="I213" t="str">
        <f t="shared" si="12"/>
        <v>Complete</v>
      </c>
      <c r="J213" s="8">
        <f>IF(_xlfn.XLOOKUP(A213,POTracking!$A:$A,POTracking!$D:$D,"")=0,"",_xlfn.XLOOKUP(A213,POTracking!$A:$A,POTracking!$D:$D,""))</f>
        <v>45672</v>
      </c>
      <c r="K213" s="9">
        <f t="shared" si="13"/>
        <v>-12</v>
      </c>
      <c r="L213" t="str">
        <f t="shared" si="14"/>
        <v>On Time/Early</v>
      </c>
      <c r="M213" s="10">
        <f t="shared" si="15"/>
        <v>-4</v>
      </c>
    </row>
    <row r="214" spans="1:13">
      <c r="A214" t="s">
        <v>765</v>
      </c>
      <c r="B214" t="s">
        <v>286</v>
      </c>
      <c r="C214" s="2">
        <v>45826</v>
      </c>
      <c r="D214" s="2">
        <v>45853</v>
      </c>
      <c r="E214" t="s">
        <v>548</v>
      </c>
      <c r="F214" t="s">
        <v>545</v>
      </c>
      <c r="G214" t="s">
        <v>556</v>
      </c>
      <c r="H214">
        <v>60</v>
      </c>
      <c r="I214" t="str">
        <f t="shared" si="12"/>
        <v>Complete</v>
      </c>
      <c r="J214" s="8">
        <f>IF(_xlfn.XLOOKUP(A214,POTracking!$A:$A,POTracking!$D:$D,"")=0,"",_xlfn.XLOOKUP(A214,POTracking!$A:$A,POTracking!$D:$D,""))</f>
        <v>45856</v>
      </c>
      <c r="K214" s="9">
        <f t="shared" si="13"/>
        <v>3</v>
      </c>
      <c r="L214" t="str">
        <f t="shared" si="14"/>
        <v>Late</v>
      </c>
      <c r="M214" s="10">
        <f t="shared" si="15"/>
        <v>30</v>
      </c>
    </row>
    <row r="215" spans="1:13">
      <c r="A215" t="s">
        <v>766</v>
      </c>
      <c r="B215" t="s">
        <v>270</v>
      </c>
      <c r="C215" s="2">
        <v>45753</v>
      </c>
      <c r="D215" s="2">
        <v>45760</v>
      </c>
      <c r="E215" t="s">
        <v>548</v>
      </c>
      <c r="F215" t="s">
        <v>545</v>
      </c>
      <c r="G215" t="s">
        <v>549</v>
      </c>
      <c r="H215">
        <v>60</v>
      </c>
      <c r="I215" t="str">
        <f t="shared" si="12"/>
        <v>Complete</v>
      </c>
      <c r="J215" s="8">
        <f>IF(_xlfn.XLOOKUP(A215,POTracking!$A:$A,POTracking!$D:$D,"")=0,"",_xlfn.XLOOKUP(A215,POTracking!$A:$A,POTracking!$D:$D,""))</f>
        <v>45767</v>
      </c>
      <c r="K215" s="9">
        <f t="shared" si="13"/>
        <v>7</v>
      </c>
      <c r="L215" t="str">
        <f t="shared" si="14"/>
        <v>Late</v>
      </c>
      <c r="M215" s="10">
        <f t="shared" si="15"/>
        <v>14</v>
      </c>
    </row>
    <row r="216" spans="1:13">
      <c r="A216" t="s">
        <v>767</v>
      </c>
      <c r="B216" t="s">
        <v>284</v>
      </c>
      <c r="C216" s="2">
        <v>45927</v>
      </c>
      <c r="D216" s="2">
        <v>45949</v>
      </c>
      <c r="E216" t="s">
        <v>548</v>
      </c>
      <c r="F216" t="s">
        <v>545</v>
      </c>
      <c r="G216" t="s">
        <v>546</v>
      </c>
      <c r="H216">
        <v>45</v>
      </c>
      <c r="I216" t="str">
        <f t="shared" si="12"/>
        <v>Complete</v>
      </c>
      <c r="J216" s="8">
        <f>IF(_xlfn.XLOOKUP(A216,POTracking!$A:$A,POTracking!$D:$D,"")=0,"",_xlfn.XLOOKUP(A216,POTracking!$A:$A,POTracking!$D:$D,""))</f>
        <v>45945</v>
      </c>
      <c r="K216" s="9">
        <f t="shared" si="13"/>
        <v>-4</v>
      </c>
      <c r="L216" t="str">
        <f t="shared" si="14"/>
        <v>On Time/Early</v>
      </c>
      <c r="M216" s="10">
        <f t="shared" si="15"/>
        <v>18</v>
      </c>
    </row>
    <row r="217" spans="1:13">
      <c r="A217" t="s">
        <v>768</v>
      </c>
      <c r="B217" t="s">
        <v>278</v>
      </c>
      <c r="C217" s="2">
        <v>45942</v>
      </c>
      <c r="D217" s="2">
        <v>45966</v>
      </c>
      <c r="E217" t="s">
        <v>558</v>
      </c>
      <c r="F217" t="s">
        <v>545</v>
      </c>
      <c r="G217" t="s">
        <v>556</v>
      </c>
      <c r="H217">
        <v>30</v>
      </c>
      <c r="I217" t="str">
        <f t="shared" si="12"/>
        <v>Monitor</v>
      </c>
      <c r="J217" s="8" t="str">
        <f>IF(_xlfn.XLOOKUP(A217,POTracking!$A:$A,POTracking!$D:$D,"")=0,"",_xlfn.XLOOKUP(A217,POTracking!$A:$A,POTracking!$D:$D,""))</f>
        <v/>
      </c>
      <c r="K217" s="9" t="str">
        <f t="shared" si="13"/>
        <v/>
      </c>
      <c r="L217" t="str">
        <f t="shared" si="14"/>
        <v>Not Yet Received</v>
      </c>
      <c r="M217" s="10" t="str">
        <f t="shared" si="15"/>
        <v/>
      </c>
    </row>
    <row r="218" spans="1:13">
      <c r="A218" t="s">
        <v>769</v>
      </c>
      <c r="B218" t="s">
        <v>278</v>
      </c>
      <c r="C218" s="2">
        <v>45867</v>
      </c>
      <c r="D218" s="2">
        <v>45877</v>
      </c>
      <c r="E218" t="s">
        <v>548</v>
      </c>
      <c r="F218" t="s">
        <v>545</v>
      </c>
      <c r="G218" t="s">
        <v>546</v>
      </c>
      <c r="H218">
        <v>60</v>
      </c>
      <c r="I218" t="str">
        <f t="shared" si="12"/>
        <v>Complete</v>
      </c>
      <c r="J218" s="8">
        <f>IF(_xlfn.XLOOKUP(A218,POTracking!$A:$A,POTracking!$D:$D,"")=0,"",_xlfn.XLOOKUP(A218,POTracking!$A:$A,POTracking!$D:$D,""))</f>
        <v>45883</v>
      </c>
      <c r="K218" s="9">
        <f t="shared" si="13"/>
        <v>6</v>
      </c>
      <c r="L218" t="str">
        <f t="shared" si="14"/>
        <v>Late</v>
      </c>
      <c r="M218" s="10">
        <f t="shared" si="15"/>
        <v>16</v>
      </c>
    </row>
    <row r="219" spans="1:13">
      <c r="A219" t="s">
        <v>770</v>
      </c>
      <c r="B219" t="s">
        <v>274</v>
      </c>
      <c r="C219" s="2">
        <v>45885</v>
      </c>
      <c r="D219" s="2">
        <v>45906</v>
      </c>
      <c r="E219" t="s">
        <v>544</v>
      </c>
      <c r="F219" t="s">
        <v>545</v>
      </c>
      <c r="G219" t="s">
        <v>552</v>
      </c>
      <c r="H219">
        <v>30</v>
      </c>
      <c r="I219" t="str">
        <f t="shared" si="12"/>
        <v>Monitor</v>
      </c>
      <c r="J219" s="8" t="str">
        <f>IF(_xlfn.XLOOKUP(A219,POTracking!$A:$A,POTracking!$D:$D,"")=0,"",_xlfn.XLOOKUP(A219,POTracking!$A:$A,POTracking!$D:$D,""))</f>
        <v/>
      </c>
      <c r="K219" s="9" t="str">
        <f t="shared" si="13"/>
        <v/>
      </c>
      <c r="L219" t="str">
        <f t="shared" si="14"/>
        <v>Not Yet Received</v>
      </c>
      <c r="M219" s="10" t="str">
        <f t="shared" si="15"/>
        <v/>
      </c>
    </row>
    <row r="220" spans="1:13">
      <c r="A220" t="s">
        <v>771</v>
      </c>
      <c r="B220" t="s">
        <v>286</v>
      </c>
      <c r="C220" s="2">
        <v>45832</v>
      </c>
      <c r="D220" s="2">
        <v>45857</v>
      </c>
      <c r="E220" t="s">
        <v>548</v>
      </c>
      <c r="F220" t="s">
        <v>545</v>
      </c>
      <c r="G220" t="s">
        <v>546</v>
      </c>
      <c r="H220">
        <v>45</v>
      </c>
      <c r="I220" t="str">
        <f t="shared" si="12"/>
        <v>Complete</v>
      </c>
      <c r="J220" s="8">
        <f>IF(_xlfn.XLOOKUP(A220,POTracking!$A:$A,POTracking!$D:$D,"")=0,"",_xlfn.XLOOKUP(A220,POTracking!$A:$A,POTracking!$D:$D,""))</f>
        <v>45860</v>
      </c>
      <c r="K220" s="9">
        <f t="shared" si="13"/>
        <v>3</v>
      </c>
      <c r="L220" t="str">
        <f t="shared" si="14"/>
        <v>Late</v>
      </c>
      <c r="M220" s="10">
        <f t="shared" si="15"/>
        <v>28</v>
      </c>
    </row>
    <row r="221" spans="1:13">
      <c r="A221" t="s">
        <v>772</v>
      </c>
      <c r="B221" t="s">
        <v>263</v>
      </c>
      <c r="C221" s="2">
        <v>45897</v>
      </c>
      <c r="D221" s="2">
        <v>45915</v>
      </c>
      <c r="E221" t="s">
        <v>548</v>
      </c>
      <c r="F221" t="s">
        <v>545</v>
      </c>
      <c r="G221" t="s">
        <v>561</v>
      </c>
      <c r="H221">
        <v>30</v>
      </c>
      <c r="I221" t="str">
        <f t="shared" si="12"/>
        <v>Complete</v>
      </c>
      <c r="J221" s="8">
        <f>IF(_xlfn.XLOOKUP(A221,POTracking!$A:$A,POTracking!$D:$D,"")=0,"",_xlfn.XLOOKUP(A221,POTracking!$A:$A,POTracking!$D:$D,""))</f>
        <v>45929</v>
      </c>
      <c r="K221" s="9">
        <f t="shared" si="13"/>
        <v>14</v>
      </c>
      <c r="L221" t="str">
        <f t="shared" si="14"/>
        <v>Late</v>
      </c>
      <c r="M221" s="10">
        <f t="shared" si="15"/>
        <v>32</v>
      </c>
    </row>
    <row r="222" spans="1:13">
      <c r="A222" t="s">
        <v>773</v>
      </c>
      <c r="B222" t="s">
        <v>284</v>
      </c>
      <c r="C222" s="2">
        <v>45759</v>
      </c>
      <c r="D222" s="2">
        <v>45769</v>
      </c>
      <c r="E222" t="s">
        <v>548</v>
      </c>
      <c r="F222" t="s">
        <v>545</v>
      </c>
      <c r="G222" t="s">
        <v>546</v>
      </c>
      <c r="H222">
        <v>60</v>
      </c>
      <c r="I222" t="str">
        <f t="shared" si="12"/>
        <v>Complete</v>
      </c>
      <c r="J222" s="8">
        <f>IF(_xlfn.XLOOKUP(A222,POTracking!$A:$A,POTracking!$D:$D,"")=0,"",_xlfn.XLOOKUP(A222,POTracking!$A:$A,POTracking!$D:$D,""))</f>
        <v>45777</v>
      </c>
      <c r="K222" s="9">
        <f t="shared" si="13"/>
        <v>8</v>
      </c>
      <c r="L222" t="str">
        <f t="shared" si="14"/>
        <v>Late</v>
      </c>
      <c r="M222" s="10">
        <f t="shared" si="15"/>
        <v>18</v>
      </c>
    </row>
    <row r="223" spans="1:13">
      <c r="A223" t="s">
        <v>774</v>
      </c>
      <c r="B223" t="s">
        <v>286</v>
      </c>
      <c r="C223" s="2">
        <v>45685</v>
      </c>
      <c r="D223" s="2">
        <v>45687</v>
      </c>
      <c r="E223" t="s">
        <v>548</v>
      </c>
      <c r="F223" t="s">
        <v>545</v>
      </c>
      <c r="G223" t="s">
        <v>552</v>
      </c>
      <c r="H223">
        <v>60</v>
      </c>
      <c r="I223" t="str">
        <f t="shared" si="12"/>
        <v>Complete</v>
      </c>
      <c r="J223" s="8">
        <f>IF(_xlfn.XLOOKUP(A223,POTracking!$A:$A,POTracking!$D:$D,"")=0,"",_xlfn.XLOOKUP(A223,POTracking!$A:$A,POTracking!$D:$D,""))</f>
        <v>45683</v>
      </c>
      <c r="K223" s="9">
        <f t="shared" si="13"/>
        <v>-4</v>
      </c>
      <c r="L223" t="str">
        <f t="shared" si="14"/>
        <v>On Time/Early</v>
      </c>
      <c r="M223" s="10">
        <f t="shared" si="15"/>
        <v>-2</v>
      </c>
    </row>
    <row r="224" spans="1:13">
      <c r="A224" t="s">
        <v>775</v>
      </c>
      <c r="B224" t="s">
        <v>278</v>
      </c>
      <c r="C224" s="2">
        <v>45815</v>
      </c>
      <c r="D224" s="2">
        <v>45823</v>
      </c>
      <c r="E224" t="s">
        <v>558</v>
      </c>
      <c r="F224" t="s">
        <v>545</v>
      </c>
      <c r="G224" t="s">
        <v>556</v>
      </c>
      <c r="H224">
        <v>30</v>
      </c>
      <c r="I224" t="str">
        <f t="shared" si="12"/>
        <v>Monitor</v>
      </c>
      <c r="J224" s="8">
        <f>IF(_xlfn.XLOOKUP(A224,POTracking!$A:$A,POTracking!$D:$D,"")=0,"",_xlfn.XLOOKUP(A224,POTracking!$A:$A,POTracking!$D:$D,""))</f>
        <v>45831</v>
      </c>
      <c r="K224" s="9">
        <f t="shared" si="13"/>
        <v>8</v>
      </c>
      <c r="L224" t="str">
        <f t="shared" si="14"/>
        <v>Late</v>
      </c>
      <c r="M224" s="10">
        <f t="shared" si="15"/>
        <v>16</v>
      </c>
    </row>
    <row r="225" spans="1:13">
      <c r="A225" t="s">
        <v>776</v>
      </c>
      <c r="B225" t="s">
        <v>242</v>
      </c>
      <c r="C225" s="2">
        <v>45741</v>
      </c>
      <c r="D225" s="2">
        <v>45769</v>
      </c>
      <c r="E225" t="s">
        <v>558</v>
      </c>
      <c r="F225" t="s">
        <v>545</v>
      </c>
      <c r="G225" t="s">
        <v>546</v>
      </c>
      <c r="H225">
        <v>45</v>
      </c>
      <c r="I225" t="str">
        <f t="shared" si="12"/>
        <v>Monitor</v>
      </c>
      <c r="J225" s="8">
        <f>IF(_xlfn.XLOOKUP(A225,POTracking!$A:$A,POTracking!$D:$D,"")=0,"",_xlfn.XLOOKUP(A225,POTracking!$A:$A,POTracking!$D:$D,""))</f>
        <v>45778</v>
      </c>
      <c r="K225" s="9">
        <f t="shared" si="13"/>
        <v>9</v>
      </c>
      <c r="L225" t="str">
        <f t="shared" si="14"/>
        <v>Late</v>
      </c>
      <c r="M225" s="10">
        <f t="shared" si="15"/>
        <v>37</v>
      </c>
    </row>
    <row r="226" spans="1:13">
      <c r="A226" t="s">
        <v>777</v>
      </c>
      <c r="B226" t="s">
        <v>255</v>
      </c>
      <c r="C226" s="2">
        <v>45936</v>
      </c>
      <c r="D226" s="2">
        <v>45946</v>
      </c>
      <c r="E226" t="s">
        <v>544</v>
      </c>
      <c r="F226" t="s">
        <v>545</v>
      </c>
      <c r="G226" t="s">
        <v>549</v>
      </c>
      <c r="H226">
        <v>45</v>
      </c>
      <c r="I226" t="str">
        <f t="shared" si="12"/>
        <v>Monitor</v>
      </c>
      <c r="J226" s="8" t="str">
        <f>IF(_xlfn.XLOOKUP(A226,POTracking!$A:$A,POTracking!$D:$D,"")=0,"",_xlfn.XLOOKUP(A226,POTracking!$A:$A,POTracking!$D:$D,""))</f>
        <v/>
      </c>
      <c r="K226" s="9" t="str">
        <f t="shared" si="13"/>
        <v/>
      </c>
      <c r="L226" t="str">
        <f t="shared" si="14"/>
        <v>Not Yet Received</v>
      </c>
      <c r="M226" s="10" t="str">
        <f t="shared" si="15"/>
        <v/>
      </c>
    </row>
    <row r="227" spans="1:13">
      <c r="A227" t="s">
        <v>778</v>
      </c>
      <c r="B227" t="s">
        <v>270</v>
      </c>
      <c r="C227" s="2">
        <v>45732</v>
      </c>
      <c r="D227" s="2">
        <v>45742</v>
      </c>
      <c r="E227" t="s">
        <v>548</v>
      </c>
      <c r="F227" t="s">
        <v>545</v>
      </c>
      <c r="G227" t="s">
        <v>561</v>
      </c>
      <c r="H227">
        <v>60</v>
      </c>
      <c r="I227" t="str">
        <f t="shared" si="12"/>
        <v>Complete</v>
      </c>
      <c r="J227" s="8">
        <f>IF(_xlfn.XLOOKUP(A227,POTracking!$A:$A,POTracking!$D:$D,"")=0,"",_xlfn.XLOOKUP(A227,POTracking!$A:$A,POTracking!$D:$D,""))</f>
        <v>45750</v>
      </c>
      <c r="K227" s="9">
        <f t="shared" si="13"/>
        <v>8</v>
      </c>
      <c r="L227" t="str">
        <f t="shared" si="14"/>
        <v>Late</v>
      </c>
      <c r="M227" s="10">
        <f t="shared" si="15"/>
        <v>18</v>
      </c>
    </row>
    <row r="228" spans="1:13">
      <c r="A228" t="s">
        <v>779</v>
      </c>
      <c r="B228" t="s">
        <v>259</v>
      </c>
      <c r="C228" s="2">
        <v>45985</v>
      </c>
      <c r="D228" s="2">
        <v>45999</v>
      </c>
      <c r="E228" t="s">
        <v>558</v>
      </c>
      <c r="F228" t="s">
        <v>545</v>
      </c>
      <c r="G228" t="s">
        <v>561</v>
      </c>
      <c r="H228">
        <v>60</v>
      </c>
      <c r="I228" t="str">
        <f t="shared" si="12"/>
        <v>Monitor</v>
      </c>
      <c r="J228" s="8" t="str">
        <f>IF(_xlfn.XLOOKUP(A228,POTracking!$A:$A,POTracking!$D:$D,"")=0,"",_xlfn.XLOOKUP(A228,POTracking!$A:$A,POTracking!$D:$D,""))</f>
        <v/>
      </c>
      <c r="K228" s="9" t="str">
        <f t="shared" si="13"/>
        <v/>
      </c>
      <c r="L228" t="str">
        <f t="shared" si="14"/>
        <v>Not Yet Received</v>
      </c>
      <c r="M228" s="10" t="str">
        <f t="shared" si="15"/>
        <v/>
      </c>
    </row>
    <row r="229" spans="1:13">
      <c r="A229" t="s">
        <v>780</v>
      </c>
      <c r="B229" t="s">
        <v>266</v>
      </c>
      <c r="C229" s="2">
        <v>45974</v>
      </c>
      <c r="D229" s="2">
        <v>45995</v>
      </c>
      <c r="E229" t="s">
        <v>558</v>
      </c>
      <c r="F229" t="s">
        <v>545</v>
      </c>
      <c r="G229" t="s">
        <v>561</v>
      </c>
      <c r="H229">
        <v>45</v>
      </c>
      <c r="I229" t="str">
        <f t="shared" si="12"/>
        <v>Monitor</v>
      </c>
      <c r="J229" s="8">
        <f>IF(_xlfn.XLOOKUP(A229,POTracking!$A:$A,POTracking!$D:$D,"")=0,"",_xlfn.XLOOKUP(A229,POTracking!$A:$A,POTracking!$D:$D,""))</f>
        <v>45990</v>
      </c>
      <c r="K229" s="9">
        <f t="shared" si="13"/>
        <v>-5</v>
      </c>
      <c r="L229" t="str">
        <f t="shared" si="14"/>
        <v>On Time/Early</v>
      </c>
      <c r="M229" s="10">
        <f t="shared" si="15"/>
        <v>16</v>
      </c>
    </row>
    <row r="230" spans="1:13">
      <c r="A230" t="s">
        <v>781</v>
      </c>
      <c r="B230" t="s">
        <v>266</v>
      </c>
      <c r="C230" s="2">
        <v>45714</v>
      </c>
      <c r="D230" s="2">
        <v>45743</v>
      </c>
      <c r="E230" t="s">
        <v>548</v>
      </c>
      <c r="F230" t="s">
        <v>545</v>
      </c>
      <c r="G230" t="s">
        <v>546</v>
      </c>
      <c r="H230">
        <v>30</v>
      </c>
      <c r="I230" t="str">
        <f t="shared" si="12"/>
        <v>Complete</v>
      </c>
      <c r="J230" s="8">
        <f>IF(_xlfn.XLOOKUP(A230,POTracking!$A:$A,POTracking!$D:$D,"")=0,"",_xlfn.XLOOKUP(A230,POTracking!$A:$A,POTracking!$D:$D,""))</f>
        <v>45747</v>
      </c>
      <c r="K230" s="9">
        <f t="shared" si="13"/>
        <v>4</v>
      </c>
      <c r="L230" t="str">
        <f t="shared" si="14"/>
        <v>Late</v>
      </c>
      <c r="M230" s="10">
        <f t="shared" si="15"/>
        <v>33</v>
      </c>
    </row>
    <row r="231" spans="1:13">
      <c r="A231" t="s">
        <v>782</v>
      </c>
      <c r="B231" t="s">
        <v>247</v>
      </c>
      <c r="C231" s="2">
        <v>45768</v>
      </c>
      <c r="D231" s="2">
        <v>45796</v>
      </c>
      <c r="E231" t="s">
        <v>548</v>
      </c>
      <c r="F231" t="s">
        <v>545</v>
      </c>
      <c r="G231" t="s">
        <v>561</v>
      </c>
      <c r="H231">
        <v>60</v>
      </c>
      <c r="I231" t="str">
        <f t="shared" si="12"/>
        <v>Complete</v>
      </c>
      <c r="J231" s="8">
        <f>IF(_xlfn.XLOOKUP(A231,POTracking!$A:$A,POTracking!$D:$D,"")=0,"",_xlfn.XLOOKUP(A231,POTracking!$A:$A,POTracking!$D:$D,""))</f>
        <v>45789</v>
      </c>
      <c r="K231" s="9">
        <f t="shared" si="13"/>
        <v>-7</v>
      </c>
      <c r="L231" t="str">
        <f t="shared" si="14"/>
        <v>On Time/Early</v>
      </c>
      <c r="M231" s="10">
        <f t="shared" si="15"/>
        <v>21</v>
      </c>
    </row>
    <row r="232" spans="1:13">
      <c r="A232" t="s">
        <v>783</v>
      </c>
      <c r="B232" t="s">
        <v>278</v>
      </c>
      <c r="C232" s="2">
        <v>45908</v>
      </c>
      <c r="D232" s="2">
        <v>45925</v>
      </c>
      <c r="E232" t="s">
        <v>558</v>
      </c>
      <c r="F232" t="s">
        <v>545</v>
      </c>
      <c r="G232" t="s">
        <v>546</v>
      </c>
      <c r="H232">
        <v>60</v>
      </c>
      <c r="I232" t="str">
        <f t="shared" si="12"/>
        <v>Monitor</v>
      </c>
      <c r="J232" s="8">
        <f>IF(_xlfn.XLOOKUP(A232,POTracking!$A:$A,POTracking!$D:$D,"")=0,"",_xlfn.XLOOKUP(A232,POTracking!$A:$A,POTracking!$D:$D,""))</f>
        <v>45931</v>
      </c>
      <c r="K232" s="9">
        <f t="shared" si="13"/>
        <v>6</v>
      </c>
      <c r="L232" t="str">
        <f t="shared" si="14"/>
        <v>Late</v>
      </c>
      <c r="M232" s="10">
        <f t="shared" si="15"/>
        <v>23</v>
      </c>
    </row>
    <row r="233" spans="1:13">
      <c r="A233" t="s">
        <v>784</v>
      </c>
      <c r="B233" t="s">
        <v>242</v>
      </c>
      <c r="C233" s="2">
        <v>45848</v>
      </c>
      <c r="D233" s="2">
        <v>45863</v>
      </c>
      <c r="E233" t="s">
        <v>551</v>
      </c>
      <c r="F233" t="s">
        <v>545</v>
      </c>
      <c r="G233" t="s">
        <v>552</v>
      </c>
      <c r="H233">
        <v>60</v>
      </c>
      <c r="I233" t="str">
        <f t="shared" si="12"/>
        <v>Urgent Follow-Up</v>
      </c>
      <c r="J233" s="8" t="str">
        <f>IF(_xlfn.XLOOKUP(A233,POTracking!$A:$A,POTracking!$D:$D,"")=0,"",_xlfn.XLOOKUP(A233,POTracking!$A:$A,POTracking!$D:$D,""))</f>
        <v/>
      </c>
      <c r="K233" s="9" t="str">
        <f t="shared" si="13"/>
        <v/>
      </c>
      <c r="L233" t="str">
        <f t="shared" si="14"/>
        <v>Not Yet Received</v>
      </c>
      <c r="M233" s="10" t="str">
        <f t="shared" si="15"/>
        <v/>
      </c>
    </row>
    <row r="234" spans="1:13">
      <c r="A234" t="s">
        <v>785</v>
      </c>
      <c r="B234" t="s">
        <v>274</v>
      </c>
      <c r="C234" s="2">
        <v>45809</v>
      </c>
      <c r="D234" s="2">
        <v>45822</v>
      </c>
      <c r="E234" t="s">
        <v>548</v>
      </c>
      <c r="F234" t="s">
        <v>545</v>
      </c>
      <c r="G234" t="s">
        <v>552</v>
      </c>
      <c r="H234">
        <v>60</v>
      </c>
      <c r="I234" t="str">
        <f t="shared" si="12"/>
        <v>Complete</v>
      </c>
      <c r="J234" s="8">
        <f>IF(_xlfn.XLOOKUP(A234,POTracking!$A:$A,POTracking!$D:$D,"")=0,"",_xlfn.XLOOKUP(A234,POTracking!$A:$A,POTracking!$D:$D,""))</f>
        <v>45819</v>
      </c>
      <c r="K234" s="9">
        <f t="shared" si="13"/>
        <v>-3</v>
      </c>
      <c r="L234" t="str">
        <f t="shared" si="14"/>
        <v>On Time/Early</v>
      </c>
      <c r="M234" s="10">
        <f t="shared" si="15"/>
        <v>10</v>
      </c>
    </row>
    <row r="235" spans="1:13">
      <c r="A235" t="s">
        <v>786</v>
      </c>
      <c r="B235" t="s">
        <v>266</v>
      </c>
      <c r="C235" s="2">
        <v>45886</v>
      </c>
      <c r="D235" s="2">
        <v>45913</v>
      </c>
      <c r="E235" t="s">
        <v>548</v>
      </c>
      <c r="F235" t="s">
        <v>545</v>
      </c>
      <c r="G235" t="s">
        <v>561</v>
      </c>
      <c r="H235">
        <v>60</v>
      </c>
      <c r="I235" t="str">
        <f t="shared" si="12"/>
        <v>Complete</v>
      </c>
      <c r="J235" s="8">
        <f>IF(_xlfn.XLOOKUP(A235,POTracking!$A:$A,POTracking!$D:$D,"")=0,"",_xlfn.XLOOKUP(A235,POTracking!$A:$A,POTracking!$D:$D,""))</f>
        <v>45919</v>
      </c>
      <c r="K235" s="9">
        <f t="shared" si="13"/>
        <v>6</v>
      </c>
      <c r="L235" t="str">
        <f t="shared" si="14"/>
        <v>Late</v>
      </c>
      <c r="M235" s="10">
        <f t="shared" si="15"/>
        <v>33</v>
      </c>
    </row>
    <row r="236" spans="1:13">
      <c r="A236" t="s">
        <v>787</v>
      </c>
      <c r="B236" t="s">
        <v>266</v>
      </c>
      <c r="C236" s="2">
        <v>45847</v>
      </c>
      <c r="D236" s="2">
        <v>45861</v>
      </c>
      <c r="E236" t="s">
        <v>558</v>
      </c>
      <c r="F236" t="s">
        <v>545</v>
      </c>
      <c r="G236" t="s">
        <v>552</v>
      </c>
      <c r="H236">
        <v>30</v>
      </c>
      <c r="I236" t="str">
        <f t="shared" si="12"/>
        <v>Monitor</v>
      </c>
      <c r="J236" s="8">
        <f>IF(_xlfn.XLOOKUP(A236,POTracking!$A:$A,POTracking!$D:$D,"")=0,"",_xlfn.XLOOKUP(A236,POTracking!$A:$A,POTracking!$D:$D,""))</f>
        <v>45861</v>
      </c>
      <c r="K236" s="9">
        <f t="shared" si="13"/>
        <v>0</v>
      </c>
      <c r="L236" t="str">
        <f t="shared" si="14"/>
        <v>On Time/Early</v>
      </c>
      <c r="M236" s="10">
        <f t="shared" si="15"/>
        <v>14</v>
      </c>
    </row>
    <row r="237" spans="1:13">
      <c r="A237" t="s">
        <v>788</v>
      </c>
      <c r="B237" t="s">
        <v>282</v>
      </c>
      <c r="C237" s="2">
        <v>45946</v>
      </c>
      <c r="D237" s="2">
        <v>45960</v>
      </c>
      <c r="E237" t="s">
        <v>558</v>
      </c>
      <c r="F237" t="s">
        <v>545</v>
      </c>
      <c r="G237" t="s">
        <v>556</v>
      </c>
      <c r="H237">
        <v>30</v>
      </c>
      <c r="I237" t="str">
        <f t="shared" si="12"/>
        <v>Monitor</v>
      </c>
      <c r="J237" s="8">
        <f>IF(_xlfn.XLOOKUP(A237,POTracking!$A:$A,POTracking!$D:$D,"")=0,"",_xlfn.XLOOKUP(A237,POTracking!$A:$A,POTracking!$D:$D,""))</f>
        <v>45951</v>
      </c>
      <c r="K237" s="9">
        <f t="shared" si="13"/>
        <v>-9</v>
      </c>
      <c r="L237" t="str">
        <f t="shared" si="14"/>
        <v>On Time/Early</v>
      </c>
      <c r="M237" s="10">
        <f t="shared" si="15"/>
        <v>5</v>
      </c>
    </row>
    <row r="238" spans="1:13">
      <c r="A238" t="s">
        <v>789</v>
      </c>
      <c r="B238" t="s">
        <v>278</v>
      </c>
      <c r="C238" s="2">
        <v>45768</v>
      </c>
      <c r="D238" s="2">
        <v>45776</v>
      </c>
      <c r="E238" t="s">
        <v>558</v>
      </c>
      <c r="F238" t="s">
        <v>545</v>
      </c>
      <c r="G238" t="s">
        <v>561</v>
      </c>
      <c r="H238">
        <v>60</v>
      </c>
      <c r="I238" t="str">
        <f t="shared" si="12"/>
        <v>Monitor</v>
      </c>
      <c r="J238" s="8">
        <f>IF(_xlfn.XLOOKUP(A238,POTracking!$A:$A,POTracking!$D:$D,"")=0,"",_xlfn.XLOOKUP(A238,POTracking!$A:$A,POTracking!$D:$D,""))</f>
        <v>45768</v>
      </c>
      <c r="K238" s="9">
        <f t="shared" si="13"/>
        <v>-8</v>
      </c>
      <c r="L238" t="str">
        <f t="shared" si="14"/>
        <v>On Time/Early</v>
      </c>
      <c r="M238" s="10">
        <f t="shared" si="15"/>
        <v>0</v>
      </c>
    </row>
    <row r="239" spans="1:13">
      <c r="A239" t="s">
        <v>790</v>
      </c>
      <c r="B239" t="s">
        <v>286</v>
      </c>
      <c r="C239" s="2">
        <v>45981</v>
      </c>
      <c r="D239" s="2">
        <v>46004</v>
      </c>
      <c r="E239" t="s">
        <v>548</v>
      </c>
      <c r="F239" t="s">
        <v>545</v>
      </c>
      <c r="G239" t="s">
        <v>561</v>
      </c>
      <c r="H239">
        <v>60</v>
      </c>
      <c r="I239" t="str">
        <f t="shared" si="12"/>
        <v>Complete</v>
      </c>
      <c r="J239" s="8">
        <f>IF(_xlfn.XLOOKUP(A239,POTracking!$A:$A,POTracking!$D:$D,"")=0,"",_xlfn.XLOOKUP(A239,POTracking!$A:$A,POTracking!$D:$D,""))</f>
        <v>46001</v>
      </c>
      <c r="K239" s="9">
        <f t="shared" si="13"/>
        <v>-3</v>
      </c>
      <c r="L239" t="str">
        <f t="shared" si="14"/>
        <v>On Time/Early</v>
      </c>
      <c r="M239" s="10">
        <f t="shared" si="15"/>
        <v>20</v>
      </c>
    </row>
    <row r="240" spans="1:13">
      <c r="A240" t="s">
        <v>791</v>
      </c>
      <c r="B240" t="s">
        <v>266</v>
      </c>
      <c r="C240" s="2">
        <v>45864</v>
      </c>
      <c r="D240" s="2">
        <v>45885</v>
      </c>
      <c r="E240" t="s">
        <v>548</v>
      </c>
      <c r="F240" t="s">
        <v>545</v>
      </c>
      <c r="G240" t="s">
        <v>561</v>
      </c>
      <c r="H240">
        <v>60</v>
      </c>
      <c r="I240" t="str">
        <f t="shared" si="12"/>
        <v>Complete</v>
      </c>
      <c r="J240" s="8">
        <f>IF(_xlfn.XLOOKUP(A240,POTracking!$A:$A,POTracking!$D:$D,"")=0,"",_xlfn.XLOOKUP(A240,POTracking!$A:$A,POTracking!$D:$D,""))</f>
        <v>45894</v>
      </c>
      <c r="K240" s="9">
        <f t="shared" si="13"/>
        <v>9</v>
      </c>
      <c r="L240" t="str">
        <f t="shared" si="14"/>
        <v>Late</v>
      </c>
      <c r="M240" s="10">
        <f t="shared" si="15"/>
        <v>30</v>
      </c>
    </row>
    <row r="241" spans="1:13">
      <c r="A241" t="s">
        <v>792</v>
      </c>
      <c r="B241" t="s">
        <v>278</v>
      </c>
      <c r="C241" s="2">
        <v>45685</v>
      </c>
      <c r="D241" s="2">
        <v>45695</v>
      </c>
      <c r="E241" t="s">
        <v>548</v>
      </c>
      <c r="F241" t="s">
        <v>545</v>
      </c>
      <c r="G241" t="s">
        <v>552</v>
      </c>
      <c r="H241">
        <v>45</v>
      </c>
      <c r="I241" t="str">
        <f t="shared" si="12"/>
        <v>Complete</v>
      </c>
      <c r="J241" s="8">
        <f>IF(_xlfn.XLOOKUP(A241,POTracking!$A:$A,POTracking!$D:$D,"")=0,"",_xlfn.XLOOKUP(A241,POTracking!$A:$A,POTracking!$D:$D,""))</f>
        <v>45706</v>
      </c>
      <c r="K241" s="9">
        <f t="shared" si="13"/>
        <v>11</v>
      </c>
      <c r="L241" t="str">
        <f t="shared" si="14"/>
        <v>Late</v>
      </c>
      <c r="M241" s="10">
        <f t="shared" si="15"/>
        <v>21</v>
      </c>
    </row>
    <row r="242" spans="1:13">
      <c r="A242" t="s">
        <v>793</v>
      </c>
      <c r="B242" t="s">
        <v>286</v>
      </c>
      <c r="C242" s="2">
        <v>45888</v>
      </c>
      <c r="D242" s="2">
        <v>45916</v>
      </c>
      <c r="E242" t="s">
        <v>544</v>
      </c>
      <c r="F242" t="s">
        <v>545</v>
      </c>
      <c r="G242" t="s">
        <v>549</v>
      </c>
      <c r="H242">
        <v>60</v>
      </c>
      <c r="I242" t="str">
        <f t="shared" si="12"/>
        <v>Monitor</v>
      </c>
      <c r="J242" s="8" t="str">
        <f>IF(_xlfn.XLOOKUP(A242,POTracking!$A:$A,POTracking!$D:$D,"")=0,"",_xlfn.XLOOKUP(A242,POTracking!$A:$A,POTracking!$D:$D,""))</f>
        <v/>
      </c>
      <c r="K242" s="9" t="str">
        <f t="shared" si="13"/>
        <v/>
      </c>
      <c r="L242" t="str">
        <f t="shared" si="14"/>
        <v>Not Yet Received</v>
      </c>
      <c r="M242" s="10" t="str">
        <f t="shared" si="15"/>
        <v/>
      </c>
    </row>
    <row r="243" spans="1:13">
      <c r="A243" t="s">
        <v>794</v>
      </c>
      <c r="B243" t="s">
        <v>255</v>
      </c>
      <c r="C243" s="2">
        <v>45923</v>
      </c>
      <c r="D243" s="2">
        <v>45934</v>
      </c>
      <c r="E243" t="s">
        <v>551</v>
      </c>
      <c r="F243" t="s">
        <v>545</v>
      </c>
      <c r="G243" t="s">
        <v>549</v>
      </c>
      <c r="H243">
        <v>45</v>
      </c>
      <c r="I243" t="str">
        <f t="shared" si="12"/>
        <v>Urgent Follow-Up</v>
      </c>
      <c r="J243" s="8" t="str">
        <f>IF(_xlfn.XLOOKUP(A243,POTracking!$A:$A,POTracking!$D:$D,"")=0,"",_xlfn.XLOOKUP(A243,POTracking!$A:$A,POTracking!$D:$D,""))</f>
        <v/>
      </c>
      <c r="K243" s="9" t="str">
        <f t="shared" si="13"/>
        <v/>
      </c>
      <c r="L243" t="str">
        <f t="shared" si="14"/>
        <v>Not Yet Received</v>
      </c>
      <c r="M243" s="10" t="str">
        <f t="shared" si="15"/>
        <v/>
      </c>
    </row>
    <row r="244" spans="1:13">
      <c r="A244" t="s">
        <v>795</v>
      </c>
      <c r="B244" t="s">
        <v>242</v>
      </c>
      <c r="C244" s="2">
        <v>45870</v>
      </c>
      <c r="D244" s="2">
        <v>45905</v>
      </c>
      <c r="E244" t="s">
        <v>551</v>
      </c>
      <c r="F244" t="s">
        <v>545</v>
      </c>
      <c r="G244" t="s">
        <v>561</v>
      </c>
      <c r="H244">
        <v>60</v>
      </c>
      <c r="I244" t="str">
        <f t="shared" si="12"/>
        <v>Urgent Follow-Up</v>
      </c>
      <c r="J244" s="8" t="str">
        <f>IF(_xlfn.XLOOKUP(A244,POTracking!$A:$A,POTracking!$D:$D,"")=0,"",_xlfn.XLOOKUP(A244,POTracking!$A:$A,POTracking!$D:$D,""))</f>
        <v/>
      </c>
      <c r="K244" s="9" t="str">
        <f t="shared" si="13"/>
        <v/>
      </c>
      <c r="L244" t="str">
        <f t="shared" si="14"/>
        <v>Not Yet Received</v>
      </c>
      <c r="M244" s="10" t="str">
        <f t="shared" si="15"/>
        <v/>
      </c>
    </row>
    <row r="245" spans="1:13">
      <c r="A245" t="s">
        <v>796</v>
      </c>
      <c r="B245" t="s">
        <v>268</v>
      </c>
      <c r="C245" s="2">
        <v>45825</v>
      </c>
      <c r="D245" s="2">
        <v>45832</v>
      </c>
      <c r="E245" t="s">
        <v>551</v>
      </c>
      <c r="F245" t="s">
        <v>545</v>
      </c>
      <c r="G245" t="s">
        <v>556</v>
      </c>
      <c r="H245">
        <v>45</v>
      </c>
      <c r="I245" t="str">
        <f t="shared" si="12"/>
        <v>Urgent Follow-Up</v>
      </c>
      <c r="J245" s="8" t="str">
        <f>IF(_xlfn.XLOOKUP(A245,POTracking!$A:$A,POTracking!$D:$D,"")=0,"",_xlfn.XLOOKUP(A245,POTracking!$A:$A,POTracking!$D:$D,""))</f>
        <v/>
      </c>
      <c r="K245" s="9" t="str">
        <f t="shared" si="13"/>
        <v/>
      </c>
      <c r="L245" t="str">
        <f t="shared" si="14"/>
        <v>Not Yet Received</v>
      </c>
      <c r="M245" s="10" t="str">
        <f t="shared" si="15"/>
        <v/>
      </c>
    </row>
    <row r="246" spans="1:13">
      <c r="A246" t="s">
        <v>797</v>
      </c>
      <c r="B246" t="s">
        <v>259</v>
      </c>
      <c r="C246" s="2">
        <v>45719</v>
      </c>
      <c r="D246" s="2">
        <v>45731</v>
      </c>
      <c r="E246" t="s">
        <v>551</v>
      </c>
      <c r="F246" t="s">
        <v>545</v>
      </c>
      <c r="G246" t="s">
        <v>556</v>
      </c>
      <c r="H246">
        <v>45</v>
      </c>
      <c r="I246" t="str">
        <f t="shared" si="12"/>
        <v>Urgent Follow-Up</v>
      </c>
      <c r="J246" s="8" t="str">
        <f>IF(_xlfn.XLOOKUP(A246,POTracking!$A:$A,POTracking!$D:$D,"")=0,"",_xlfn.XLOOKUP(A246,POTracking!$A:$A,POTracking!$D:$D,""))</f>
        <v/>
      </c>
      <c r="K246" s="9" t="str">
        <f t="shared" si="13"/>
        <v/>
      </c>
      <c r="L246" t="str">
        <f t="shared" si="14"/>
        <v>Not Yet Received</v>
      </c>
      <c r="M246" s="10" t="str">
        <f t="shared" si="15"/>
        <v/>
      </c>
    </row>
    <row r="247" spans="1:13">
      <c r="A247" t="s">
        <v>798</v>
      </c>
      <c r="B247" t="s">
        <v>263</v>
      </c>
      <c r="C247" s="2">
        <v>45970</v>
      </c>
      <c r="D247" s="2">
        <v>45979</v>
      </c>
      <c r="E247" t="s">
        <v>558</v>
      </c>
      <c r="F247" t="s">
        <v>545</v>
      </c>
      <c r="G247" t="s">
        <v>561</v>
      </c>
      <c r="H247">
        <v>30</v>
      </c>
      <c r="I247" t="str">
        <f t="shared" si="12"/>
        <v>Monitor</v>
      </c>
      <c r="J247" s="8">
        <f>IF(_xlfn.XLOOKUP(A247,POTracking!$A:$A,POTracking!$D:$D,"")=0,"",_xlfn.XLOOKUP(A247,POTracking!$A:$A,POTracking!$D:$D,""))</f>
        <v>45975</v>
      </c>
      <c r="K247" s="9">
        <f t="shared" si="13"/>
        <v>-4</v>
      </c>
      <c r="L247" t="str">
        <f t="shared" si="14"/>
        <v>On Time/Early</v>
      </c>
      <c r="M247" s="10">
        <f t="shared" si="15"/>
        <v>5</v>
      </c>
    </row>
    <row r="248" spans="1:13">
      <c r="A248" t="s">
        <v>799</v>
      </c>
      <c r="B248" t="s">
        <v>257</v>
      </c>
      <c r="C248" s="2">
        <v>45928</v>
      </c>
      <c r="D248" s="2">
        <v>45943</v>
      </c>
      <c r="E248" t="s">
        <v>548</v>
      </c>
      <c r="F248" t="s">
        <v>545</v>
      </c>
      <c r="G248" t="s">
        <v>549</v>
      </c>
      <c r="H248">
        <v>60</v>
      </c>
      <c r="I248" t="str">
        <f t="shared" si="12"/>
        <v>Complete</v>
      </c>
      <c r="J248" s="8">
        <f>IF(_xlfn.XLOOKUP(A248,POTracking!$A:$A,POTracking!$D:$D,"")=0,"",_xlfn.XLOOKUP(A248,POTracking!$A:$A,POTracking!$D:$D,""))</f>
        <v>45946</v>
      </c>
      <c r="K248" s="9">
        <f t="shared" si="13"/>
        <v>3</v>
      </c>
      <c r="L248" t="str">
        <f t="shared" si="14"/>
        <v>Late</v>
      </c>
      <c r="M248" s="10">
        <f t="shared" si="15"/>
        <v>18</v>
      </c>
    </row>
    <row r="249" spans="1:13">
      <c r="A249" t="s">
        <v>800</v>
      </c>
      <c r="B249" t="s">
        <v>286</v>
      </c>
      <c r="C249" s="2">
        <v>45775</v>
      </c>
      <c r="D249" s="2">
        <v>45798</v>
      </c>
      <c r="E249" t="s">
        <v>548</v>
      </c>
      <c r="F249" t="s">
        <v>545</v>
      </c>
      <c r="G249" t="s">
        <v>549</v>
      </c>
      <c r="H249">
        <v>30</v>
      </c>
      <c r="I249" t="str">
        <f t="shared" si="12"/>
        <v>Complete</v>
      </c>
      <c r="J249" s="8">
        <f>IF(_xlfn.XLOOKUP(A249,POTracking!$A:$A,POTracking!$D:$D,"")=0,"",_xlfn.XLOOKUP(A249,POTracking!$A:$A,POTracking!$D:$D,""))</f>
        <v>45799</v>
      </c>
      <c r="K249" s="9">
        <f t="shared" si="13"/>
        <v>1</v>
      </c>
      <c r="L249" t="str">
        <f t="shared" si="14"/>
        <v>Late</v>
      </c>
      <c r="M249" s="10">
        <f t="shared" si="15"/>
        <v>24</v>
      </c>
    </row>
    <row r="250" spans="1:13">
      <c r="A250" t="s">
        <v>801</v>
      </c>
      <c r="B250" t="s">
        <v>255</v>
      </c>
      <c r="C250" s="2">
        <v>45683</v>
      </c>
      <c r="D250" s="2">
        <v>45707</v>
      </c>
      <c r="E250" t="s">
        <v>548</v>
      </c>
      <c r="F250" t="s">
        <v>545</v>
      </c>
      <c r="G250" t="s">
        <v>561</v>
      </c>
      <c r="H250">
        <v>60</v>
      </c>
      <c r="I250" t="str">
        <f t="shared" si="12"/>
        <v>Complete</v>
      </c>
      <c r="J250" s="8">
        <f>IF(_xlfn.XLOOKUP(A250,POTracking!$A:$A,POTracking!$D:$D,"")=0,"",_xlfn.XLOOKUP(A250,POTracking!$A:$A,POTracking!$D:$D,""))</f>
        <v>45717</v>
      </c>
      <c r="K250" s="9">
        <f t="shared" si="13"/>
        <v>10</v>
      </c>
      <c r="L250" t="str">
        <f t="shared" si="14"/>
        <v>Late</v>
      </c>
      <c r="M250" s="10">
        <f t="shared" si="15"/>
        <v>34</v>
      </c>
    </row>
    <row r="251" spans="1:13">
      <c r="A251" t="s">
        <v>802</v>
      </c>
      <c r="B251" t="s">
        <v>284</v>
      </c>
      <c r="C251" s="2">
        <v>45735</v>
      </c>
      <c r="D251" s="2">
        <v>45751</v>
      </c>
      <c r="E251" t="s">
        <v>548</v>
      </c>
      <c r="F251" t="s">
        <v>545</v>
      </c>
      <c r="G251" t="s">
        <v>556</v>
      </c>
      <c r="H251">
        <v>30</v>
      </c>
      <c r="I251" t="str">
        <f t="shared" si="12"/>
        <v>Complete</v>
      </c>
      <c r="J251" s="8">
        <f>IF(_xlfn.XLOOKUP(A251,POTracking!$A:$A,POTracking!$D:$D,"")=0,"",_xlfn.XLOOKUP(A251,POTracking!$A:$A,POTracking!$D:$D,""))</f>
        <v>45759</v>
      </c>
      <c r="K251" s="9">
        <f t="shared" si="13"/>
        <v>8</v>
      </c>
      <c r="L251" t="str">
        <f t="shared" si="14"/>
        <v>Late</v>
      </c>
      <c r="M251" s="10">
        <f t="shared" si="15"/>
        <v>24</v>
      </c>
    </row>
    <row r="252" spans="1:13">
      <c r="A252" t="s">
        <v>803</v>
      </c>
      <c r="B252" t="s">
        <v>272</v>
      </c>
      <c r="C252" s="2">
        <v>46013</v>
      </c>
      <c r="D252" s="2">
        <v>46036</v>
      </c>
      <c r="E252" t="s">
        <v>544</v>
      </c>
      <c r="F252" t="s">
        <v>545</v>
      </c>
      <c r="G252" t="s">
        <v>549</v>
      </c>
      <c r="H252">
        <v>30</v>
      </c>
      <c r="I252" t="str">
        <f t="shared" si="12"/>
        <v>Monitor</v>
      </c>
      <c r="J252" s="8" t="str">
        <f>IF(_xlfn.XLOOKUP(A252,POTracking!$A:$A,POTracking!$D:$D,"")=0,"",_xlfn.XLOOKUP(A252,POTracking!$A:$A,POTracking!$D:$D,""))</f>
        <v/>
      </c>
      <c r="K252" s="9" t="str">
        <f t="shared" si="13"/>
        <v/>
      </c>
      <c r="L252" t="str">
        <f t="shared" si="14"/>
        <v>Not Yet Received</v>
      </c>
      <c r="M252" s="10" t="str">
        <f t="shared" si="15"/>
        <v/>
      </c>
    </row>
    <row r="253" spans="1:13">
      <c r="A253" t="s">
        <v>804</v>
      </c>
      <c r="B253" t="s">
        <v>251</v>
      </c>
      <c r="C253" s="2">
        <v>45980</v>
      </c>
      <c r="D253" s="2">
        <v>46007</v>
      </c>
      <c r="E253" t="s">
        <v>558</v>
      </c>
      <c r="F253" t="s">
        <v>545</v>
      </c>
      <c r="G253" t="s">
        <v>546</v>
      </c>
      <c r="H253">
        <v>30</v>
      </c>
      <c r="I253" t="str">
        <f t="shared" si="12"/>
        <v>Monitor</v>
      </c>
      <c r="J253" s="8">
        <f>IF(_xlfn.XLOOKUP(A253,POTracking!$A:$A,POTracking!$D:$D,"")=0,"",_xlfn.XLOOKUP(A253,POTracking!$A:$A,POTracking!$D:$D,""))</f>
        <v>46005</v>
      </c>
      <c r="K253" s="9">
        <f t="shared" si="13"/>
        <v>-2</v>
      </c>
      <c r="L253" t="str">
        <f t="shared" si="14"/>
        <v>On Time/Early</v>
      </c>
      <c r="M253" s="10">
        <f t="shared" si="15"/>
        <v>25</v>
      </c>
    </row>
    <row r="254" spans="1:13">
      <c r="A254" t="s">
        <v>805</v>
      </c>
      <c r="B254" t="s">
        <v>259</v>
      </c>
      <c r="C254" s="2">
        <v>45954</v>
      </c>
      <c r="D254" s="2">
        <v>45960</v>
      </c>
      <c r="E254" t="s">
        <v>558</v>
      </c>
      <c r="F254" t="s">
        <v>545</v>
      </c>
      <c r="G254" t="s">
        <v>556</v>
      </c>
      <c r="H254">
        <v>60</v>
      </c>
      <c r="I254" t="str">
        <f t="shared" si="12"/>
        <v>Monitor</v>
      </c>
      <c r="J254" s="8">
        <f>IF(_xlfn.XLOOKUP(A254,POTracking!$A:$A,POTracking!$D:$D,"")=0,"",_xlfn.XLOOKUP(A254,POTracking!$A:$A,POTracking!$D:$D,""))</f>
        <v>45957</v>
      </c>
      <c r="K254" s="9">
        <f t="shared" si="13"/>
        <v>-3</v>
      </c>
      <c r="L254" t="str">
        <f t="shared" si="14"/>
        <v>On Time/Early</v>
      </c>
      <c r="M254" s="10">
        <f t="shared" si="15"/>
        <v>3</v>
      </c>
    </row>
    <row r="255" spans="1:13">
      <c r="A255" t="s">
        <v>806</v>
      </c>
      <c r="B255" t="s">
        <v>255</v>
      </c>
      <c r="C255" s="2">
        <v>45996</v>
      </c>
      <c r="D255" s="2">
        <v>46027</v>
      </c>
      <c r="E255" t="s">
        <v>544</v>
      </c>
      <c r="F255" t="s">
        <v>545</v>
      </c>
      <c r="G255" t="s">
        <v>549</v>
      </c>
      <c r="H255">
        <v>45</v>
      </c>
      <c r="I255" t="str">
        <f t="shared" si="12"/>
        <v>Monitor</v>
      </c>
      <c r="J255" s="8" t="str">
        <f>IF(_xlfn.XLOOKUP(A255,POTracking!$A:$A,POTracking!$D:$D,"")=0,"",_xlfn.XLOOKUP(A255,POTracking!$A:$A,POTracking!$D:$D,""))</f>
        <v/>
      </c>
      <c r="K255" s="9" t="str">
        <f t="shared" si="13"/>
        <v/>
      </c>
      <c r="L255" t="str">
        <f t="shared" si="14"/>
        <v>Not Yet Received</v>
      </c>
      <c r="M255" s="10" t="str">
        <f t="shared" si="15"/>
        <v/>
      </c>
    </row>
    <row r="256" spans="1:13">
      <c r="A256" t="s">
        <v>807</v>
      </c>
      <c r="B256" t="s">
        <v>278</v>
      </c>
      <c r="C256" s="2">
        <v>45705</v>
      </c>
      <c r="D256" s="2">
        <v>45722</v>
      </c>
      <c r="E256" t="s">
        <v>548</v>
      </c>
      <c r="F256" t="s">
        <v>545</v>
      </c>
      <c r="G256" t="s">
        <v>549</v>
      </c>
      <c r="H256">
        <v>60</v>
      </c>
      <c r="I256" t="str">
        <f t="shared" si="12"/>
        <v>Complete</v>
      </c>
      <c r="J256" s="8">
        <f>IF(_xlfn.XLOOKUP(A256,POTracking!$A:$A,POTracking!$D:$D,"")=0,"",_xlfn.XLOOKUP(A256,POTracking!$A:$A,POTracking!$D:$D,""))</f>
        <v>45721</v>
      </c>
      <c r="K256" s="9">
        <f t="shared" si="13"/>
        <v>-1</v>
      </c>
      <c r="L256" t="str">
        <f t="shared" si="14"/>
        <v>On Time/Early</v>
      </c>
      <c r="M256" s="10">
        <f t="shared" si="15"/>
        <v>16</v>
      </c>
    </row>
    <row r="257" spans="1:13">
      <c r="A257" t="s">
        <v>808</v>
      </c>
      <c r="B257" t="s">
        <v>251</v>
      </c>
      <c r="C257" s="2">
        <v>45901</v>
      </c>
      <c r="D257" s="2">
        <v>45907</v>
      </c>
      <c r="E257" t="s">
        <v>544</v>
      </c>
      <c r="F257" t="s">
        <v>545</v>
      </c>
      <c r="G257" t="s">
        <v>552</v>
      </c>
      <c r="H257">
        <v>60</v>
      </c>
      <c r="I257" t="str">
        <f t="shared" si="12"/>
        <v>Monitor</v>
      </c>
      <c r="J257" s="8" t="str">
        <f>IF(_xlfn.XLOOKUP(A257,POTracking!$A:$A,POTracking!$D:$D,"")=0,"",_xlfn.XLOOKUP(A257,POTracking!$A:$A,POTracking!$D:$D,""))</f>
        <v/>
      </c>
      <c r="K257" s="9" t="str">
        <f t="shared" si="13"/>
        <v/>
      </c>
      <c r="L257" t="str">
        <f t="shared" si="14"/>
        <v>Not Yet Received</v>
      </c>
      <c r="M257" s="10" t="str">
        <f t="shared" si="15"/>
        <v/>
      </c>
    </row>
    <row r="258" spans="1:13">
      <c r="A258" t="s">
        <v>809</v>
      </c>
      <c r="B258" t="s">
        <v>236</v>
      </c>
      <c r="C258" s="2">
        <v>45878</v>
      </c>
      <c r="D258" s="2">
        <v>45889</v>
      </c>
      <c r="E258" t="s">
        <v>548</v>
      </c>
      <c r="F258" t="s">
        <v>545</v>
      </c>
      <c r="G258" t="s">
        <v>561</v>
      </c>
      <c r="H258">
        <v>30</v>
      </c>
      <c r="I258" t="str">
        <f t="shared" si="12"/>
        <v>Complete</v>
      </c>
      <c r="J258" s="8">
        <f>IF(_xlfn.XLOOKUP(A258,POTracking!$A:$A,POTracking!$D:$D,"")=0,"",_xlfn.XLOOKUP(A258,POTracking!$A:$A,POTracking!$D:$D,""))</f>
        <v>45877</v>
      </c>
      <c r="K258" s="9">
        <f t="shared" si="13"/>
        <v>-12</v>
      </c>
      <c r="L258" t="str">
        <f t="shared" si="14"/>
        <v>On Time/Early</v>
      </c>
      <c r="M258" s="10">
        <f t="shared" si="15"/>
        <v>-1</v>
      </c>
    </row>
    <row r="259" spans="1:13">
      <c r="A259" t="s">
        <v>810</v>
      </c>
      <c r="B259" t="s">
        <v>268</v>
      </c>
      <c r="C259" s="2">
        <v>45844</v>
      </c>
      <c r="D259" s="2">
        <v>45877</v>
      </c>
      <c r="E259" t="s">
        <v>548</v>
      </c>
      <c r="F259" t="s">
        <v>545</v>
      </c>
      <c r="G259" t="s">
        <v>556</v>
      </c>
      <c r="H259">
        <v>30</v>
      </c>
      <c r="I259" t="str">
        <f t="shared" ref="I259:I321" si="16">IF(TRIM(E259)="Overdue","Urgent Follow-Up",IF(TRIM(E259)="Received","Complete",IF(OR(TRIM(E259)="Open",TRIM(E259)="Partially Received"),"Monitor","Check Status")))</f>
        <v>Complete</v>
      </c>
      <c r="J259" s="8">
        <f>IF(_xlfn.XLOOKUP(A259,POTracking!$A:$A,POTracking!$D:$D,"")=0,"",_xlfn.XLOOKUP(A259,POTracking!$A:$A,POTracking!$D:$D,""))</f>
        <v>45883</v>
      </c>
      <c r="K259" s="9">
        <f t="shared" ref="K259:K321" si="17">IF(J259="","",J259-D259)</f>
        <v>6</v>
      </c>
      <c r="L259" t="str">
        <f t="shared" ref="L259:L321" si="18">IF(J259="","Not Yet Received",IF(K259&lt;=0,"On Time/Early","Late"))</f>
        <v>Late</v>
      </c>
      <c r="M259" s="10">
        <f t="shared" ref="M259:M321" si="19">IF(J259="","",J259-C259)</f>
        <v>39</v>
      </c>
    </row>
    <row r="260" spans="1:13">
      <c r="A260" t="s">
        <v>811</v>
      </c>
      <c r="B260" t="s">
        <v>259</v>
      </c>
      <c r="C260" s="2">
        <v>45977</v>
      </c>
      <c r="D260" s="2">
        <v>45984</v>
      </c>
      <c r="E260" t="s">
        <v>548</v>
      </c>
      <c r="F260" t="s">
        <v>545</v>
      </c>
      <c r="G260" t="s">
        <v>556</v>
      </c>
      <c r="H260">
        <v>30</v>
      </c>
      <c r="I260" t="str">
        <f t="shared" si="16"/>
        <v>Complete</v>
      </c>
      <c r="J260" s="8">
        <f>IF(_xlfn.XLOOKUP(A260,POTracking!$A:$A,POTracking!$D:$D,"")=0,"",_xlfn.XLOOKUP(A260,POTracking!$A:$A,POTracking!$D:$D,""))</f>
        <v>45991</v>
      </c>
      <c r="K260" s="9">
        <f t="shared" si="17"/>
        <v>7</v>
      </c>
      <c r="L260" t="str">
        <f t="shared" si="18"/>
        <v>Late</v>
      </c>
      <c r="M260" s="10">
        <f t="shared" si="19"/>
        <v>14</v>
      </c>
    </row>
    <row r="261" spans="1:13">
      <c r="A261" t="s">
        <v>812</v>
      </c>
      <c r="B261" t="s">
        <v>286</v>
      </c>
      <c r="C261" s="2">
        <v>45892</v>
      </c>
      <c r="D261" s="2">
        <v>45909</v>
      </c>
      <c r="E261" t="s">
        <v>551</v>
      </c>
      <c r="F261" t="s">
        <v>545</v>
      </c>
      <c r="G261" t="s">
        <v>556</v>
      </c>
      <c r="H261">
        <v>60</v>
      </c>
      <c r="I261" t="str">
        <f t="shared" si="16"/>
        <v>Urgent Follow-Up</v>
      </c>
      <c r="J261" s="8" t="str">
        <f>IF(_xlfn.XLOOKUP(A261,POTracking!$A:$A,POTracking!$D:$D,"")=0,"",_xlfn.XLOOKUP(A261,POTracking!$A:$A,POTracking!$D:$D,""))</f>
        <v/>
      </c>
      <c r="K261" s="9" t="str">
        <f t="shared" si="17"/>
        <v/>
      </c>
      <c r="L261" t="str">
        <f t="shared" si="18"/>
        <v>Not Yet Received</v>
      </c>
      <c r="M261" s="10" t="str">
        <f t="shared" si="19"/>
        <v/>
      </c>
    </row>
    <row r="262" spans="1:13">
      <c r="A262" t="s">
        <v>813</v>
      </c>
      <c r="B262" t="s">
        <v>272</v>
      </c>
      <c r="C262" s="2">
        <v>45678</v>
      </c>
      <c r="D262" s="2">
        <v>45700</v>
      </c>
      <c r="E262" t="s">
        <v>551</v>
      </c>
      <c r="F262" t="s">
        <v>545</v>
      </c>
      <c r="G262" t="s">
        <v>561</v>
      </c>
      <c r="H262">
        <v>45</v>
      </c>
      <c r="I262" t="str">
        <f t="shared" si="16"/>
        <v>Urgent Follow-Up</v>
      </c>
      <c r="J262" s="8" t="str">
        <f>IF(_xlfn.XLOOKUP(A262,POTracking!$A:$A,POTracking!$D:$D,"")=0,"",_xlfn.XLOOKUP(A262,POTracking!$A:$A,POTracking!$D:$D,""))</f>
        <v/>
      </c>
      <c r="K262" s="9" t="str">
        <f t="shared" si="17"/>
        <v/>
      </c>
      <c r="L262" t="str">
        <f t="shared" si="18"/>
        <v>Not Yet Received</v>
      </c>
      <c r="M262" s="10" t="str">
        <f t="shared" si="19"/>
        <v/>
      </c>
    </row>
    <row r="263" spans="1:13">
      <c r="A263" t="s">
        <v>814</v>
      </c>
      <c r="B263" t="s">
        <v>272</v>
      </c>
      <c r="C263" s="2">
        <v>46004</v>
      </c>
      <c r="D263" s="2">
        <v>46031</v>
      </c>
      <c r="E263" t="s">
        <v>544</v>
      </c>
      <c r="F263" t="s">
        <v>545</v>
      </c>
      <c r="G263" t="s">
        <v>556</v>
      </c>
      <c r="H263">
        <v>30</v>
      </c>
      <c r="I263" t="str">
        <f t="shared" si="16"/>
        <v>Monitor</v>
      </c>
      <c r="J263" s="8" t="str">
        <f>IF(_xlfn.XLOOKUP(A263,POTracking!$A:$A,POTracking!$D:$D,"")=0,"",_xlfn.XLOOKUP(A263,POTracking!$A:$A,POTracking!$D:$D,""))</f>
        <v/>
      </c>
      <c r="K263" s="9" t="str">
        <f t="shared" si="17"/>
        <v/>
      </c>
      <c r="L263" t="str">
        <f t="shared" si="18"/>
        <v>Not Yet Received</v>
      </c>
      <c r="M263" s="10" t="str">
        <f t="shared" si="19"/>
        <v/>
      </c>
    </row>
    <row r="264" spans="1:13">
      <c r="A264" t="s">
        <v>815</v>
      </c>
      <c r="B264" t="s">
        <v>259</v>
      </c>
      <c r="C264" s="2">
        <v>45705</v>
      </c>
      <c r="D264" s="2">
        <v>45732</v>
      </c>
      <c r="E264" t="s">
        <v>558</v>
      </c>
      <c r="F264" t="s">
        <v>545</v>
      </c>
      <c r="G264" t="s">
        <v>552</v>
      </c>
      <c r="H264">
        <v>30</v>
      </c>
      <c r="I264" t="str">
        <f t="shared" si="16"/>
        <v>Monitor</v>
      </c>
      <c r="J264" s="8" t="str">
        <f>IF(_xlfn.XLOOKUP(A264,POTracking!$A:$A,POTracking!$D:$D,"")=0,"",_xlfn.XLOOKUP(A264,POTracking!$A:$A,POTracking!$D:$D,""))</f>
        <v/>
      </c>
      <c r="K264" s="9" t="str">
        <f t="shared" si="17"/>
        <v/>
      </c>
      <c r="L264" t="str">
        <f t="shared" si="18"/>
        <v>Not Yet Received</v>
      </c>
      <c r="M264" s="10" t="str">
        <f t="shared" si="19"/>
        <v/>
      </c>
    </row>
    <row r="265" spans="1:13">
      <c r="A265" t="s">
        <v>816</v>
      </c>
      <c r="B265" t="s">
        <v>284</v>
      </c>
      <c r="C265" s="2">
        <v>45716</v>
      </c>
      <c r="D265" s="2">
        <v>45726</v>
      </c>
      <c r="E265" t="s">
        <v>548</v>
      </c>
      <c r="F265" t="s">
        <v>545</v>
      </c>
      <c r="G265" t="s">
        <v>561</v>
      </c>
      <c r="H265">
        <v>60</v>
      </c>
      <c r="I265" t="str">
        <f t="shared" si="16"/>
        <v>Complete</v>
      </c>
      <c r="J265" s="8">
        <f>IF(_xlfn.XLOOKUP(A265,POTracking!$A:$A,POTracking!$D:$D,"")=0,"",_xlfn.XLOOKUP(A265,POTracking!$A:$A,POTracking!$D:$D,""))</f>
        <v>45727</v>
      </c>
      <c r="K265" s="9">
        <f t="shared" si="17"/>
        <v>1</v>
      </c>
      <c r="L265" t="str">
        <f t="shared" si="18"/>
        <v>Late</v>
      </c>
      <c r="M265" s="10">
        <f t="shared" si="19"/>
        <v>11</v>
      </c>
    </row>
    <row r="266" spans="1:13">
      <c r="A266" t="s">
        <v>817</v>
      </c>
      <c r="B266" t="s">
        <v>263</v>
      </c>
      <c r="C266" s="2">
        <v>45873</v>
      </c>
      <c r="D266" s="2">
        <v>45876</v>
      </c>
      <c r="E266" t="s">
        <v>548</v>
      </c>
      <c r="F266" t="s">
        <v>545</v>
      </c>
      <c r="G266" t="s">
        <v>556</v>
      </c>
      <c r="H266">
        <v>45</v>
      </c>
      <c r="I266" t="str">
        <f t="shared" si="16"/>
        <v>Complete</v>
      </c>
      <c r="J266" s="8">
        <f>IF(_xlfn.XLOOKUP(A266,POTracking!$A:$A,POTracking!$D:$D,"")=0,"",_xlfn.XLOOKUP(A266,POTracking!$A:$A,POTracking!$D:$D,""))</f>
        <v>45867</v>
      </c>
      <c r="K266" s="9">
        <f t="shared" si="17"/>
        <v>-9</v>
      </c>
      <c r="L266" t="str">
        <f t="shared" si="18"/>
        <v>On Time/Early</v>
      </c>
      <c r="M266" s="10">
        <f t="shared" si="19"/>
        <v>-6</v>
      </c>
    </row>
    <row r="267" spans="1:13">
      <c r="A267" t="s">
        <v>818</v>
      </c>
      <c r="B267" t="s">
        <v>274</v>
      </c>
      <c r="C267" s="2">
        <v>45659</v>
      </c>
      <c r="D267" s="2">
        <v>45680</v>
      </c>
      <c r="E267" t="s">
        <v>558</v>
      </c>
      <c r="F267" t="s">
        <v>545</v>
      </c>
      <c r="G267" t="s">
        <v>549</v>
      </c>
      <c r="H267">
        <v>45</v>
      </c>
      <c r="I267" t="str">
        <f t="shared" si="16"/>
        <v>Monitor</v>
      </c>
      <c r="J267" s="8">
        <f>IF(_xlfn.XLOOKUP(A267,POTracking!$A:$A,POTracking!$D:$D,"")=0,"",_xlfn.XLOOKUP(A267,POTracking!$A:$A,POTracking!$D:$D,""))</f>
        <v>45670</v>
      </c>
      <c r="K267" s="9">
        <f t="shared" si="17"/>
        <v>-10</v>
      </c>
      <c r="L267" t="str">
        <f t="shared" si="18"/>
        <v>On Time/Early</v>
      </c>
      <c r="M267" s="10">
        <f t="shared" si="19"/>
        <v>11</v>
      </c>
    </row>
    <row r="268" spans="1:13">
      <c r="A268" t="s">
        <v>819</v>
      </c>
      <c r="B268" t="s">
        <v>236</v>
      </c>
      <c r="C268" s="2">
        <v>45950</v>
      </c>
      <c r="D268" s="2">
        <v>45963</v>
      </c>
      <c r="E268" t="s">
        <v>548</v>
      </c>
      <c r="F268" t="s">
        <v>545</v>
      </c>
      <c r="G268" t="s">
        <v>546</v>
      </c>
      <c r="H268">
        <v>60</v>
      </c>
      <c r="I268" t="str">
        <f t="shared" si="16"/>
        <v>Complete</v>
      </c>
      <c r="J268" s="8">
        <f>IF(_xlfn.XLOOKUP(A268,POTracking!$A:$A,POTracking!$D:$D,"")=0,"",_xlfn.XLOOKUP(A268,POTracking!$A:$A,POTracking!$D:$D,""))</f>
        <v>45961</v>
      </c>
      <c r="K268" s="9">
        <f t="shared" si="17"/>
        <v>-2</v>
      </c>
      <c r="L268" t="str">
        <f t="shared" si="18"/>
        <v>On Time/Early</v>
      </c>
      <c r="M268" s="10">
        <f t="shared" si="19"/>
        <v>11</v>
      </c>
    </row>
    <row r="269" spans="1:13">
      <c r="A269" t="s">
        <v>820</v>
      </c>
      <c r="B269" t="s">
        <v>268</v>
      </c>
      <c r="C269" s="2">
        <v>45849</v>
      </c>
      <c r="D269" s="2">
        <v>45868</v>
      </c>
      <c r="E269" t="s">
        <v>558</v>
      </c>
      <c r="F269" t="s">
        <v>545</v>
      </c>
      <c r="G269" t="s">
        <v>549</v>
      </c>
      <c r="H269">
        <v>30</v>
      </c>
      <c r="I269" t="str">
        <f t="shared" si="16"/>
        <v>Monitor</v>
      </c>
      <c r="J269" s="8">
        <f>IF(_xlfn.XLOOKUP(A269,POTracking!$A:$A,POTracking!$D:$D,"")=0,"",_xlfn.XLOOKUP(A269,POTracking!$A:$A,POTracking!$D:$D,""))</f>
        <v>45867</v>
      </c>
      <c r="K269" s="9">
        <f t="shared" si="17"/>
        <v>-1</v>
      </c>
      <c r="L269" t="str">
        <f t="shared" si="18"/>
        <v>On Time/Early</v>
      </c>
      <c r="M269" s="10">
        <f t="shared" si="19"/>
        <v>18</v>
      </c>
    </row>
    <row r="270" spans="1:13">
      <c r="A270" t="s">
        <v>821</v>
      </c>
      <c r="B270" t="s">
        <v>261</v>
      </c>
      <c r="C270" s="2">
        <v>45871</v>
      </c>
      <c r="D270" s="2">
        <v>45888</v>
      </c>
      <c r="E270" t="s">
        <v>548</v>
      </c>
      <c r="F270" t="s">
        <v>545</v>
      </c>
      <c r="G270" t="s">
        <v>549</v>
      </c>
      <c r="H270">
        <v>45</v>
      </c>
      <c r="I270" t="str">
        <f t="shared" si="16"/>
        <v>Complete</v>
      </c>
      <c r="J270" s="8">
        <f>IF(_xlfn.XLOOKUP(A270,POTracking!$A:$A,POTracking!$D:$D,"")=0,"",_xlfn.XLOOKUP(A270,POTracking!$A:$A,POTracking!$D:$D,""))</f>
        <v>45884</v>
      </c>
      <c r="K270" s="9">
        <f t="shared" si="17"/>
        <v>-4</v>
      </c>
      <c r="L270" t="str">
        <f t="shared" si="18"/>
        <v>On Time/Early</v>
      </c>
      <c r="M270" s="10">
        <f t="shared" si="19"/>
        <v>13</v>
      </c>
    </row>
    <row r="271" spans="1:13">
      <c r="A271" t="s">
        <v>822</v>
      </c>
      <c r="B271" t="s">
        <v>286</v>
      </c>
      <c r="C271" s="2">
        <v>45894</v>
      </c>
      <c r="D271" s="2">
        <v>45915</v>
      </c>
      <c r="E271" t="s">
        <v>548</v>
      </c>
      <c r="F271" t="s">
        <v>545</v>
      </c>
      <c r="G271" t="s">
        <v>546</v>
      </c>
      <c r="H271">
        <v>60</v>
      </c>
      <c r="I271" t="str">
        <f t="shared" si="16"/>
        <v>Complete</v>
      </c>
      <c r="J271" s="8">
        <f>IF(_xlfn.XLOOKUP(A271,POTracking!$A:$A,POTracking!$D:$D,"")=0,"",_xlfn.XLOOKUP(A271,POTracking!$A:$A,POTracking!$D:$D,""))</f>
        <v>45908</v>
      </c>
      <c r="K271" s="9">
        <f t="shared" si="17"/>
        <v>-7</v>
      </c>
      <c r="L271" t="str">
        <f t="shared" si="18"/>
        <v>On Time/Early</v>
      </c>
      <c r="M271" s="10">
        <f t="shared" si="19"/>
        <v>14</v>
      </c>
    </row>
    <row r="272" spans="1:13">
      <c r="A272" t="s">
        <v>823</v>
      </c>
      <c r="B272" t="s">
        <v>276</v>
      </c>
      <c r="C272" s="2">
        <v>45949</v>
      </c>
      <c r="D272" s="2">
        <v>45975</v>
      </c>
      <c r="E272" t="s">
        <v>548</v>
      </c>
      <c r="F272" t="s">
        <v>545</v>
      </c>
      <c r="G272" t="s">
        <v>552</v>
      </c>
      <c r="H272">
        <v>60</v>
      </c>
      <c r="I272" t="str">
        <f t="shared" si="16"/>
        <v>Complete</v>
      </c>
      <c r="J272" s="8">
        <f>IF(_xlfn.XLOOKUP(A272,POTracking!$A:$A,POTracking!$D:$D,"")=0,"",_xlfn.XLOOKUP(A272,POTracking!$A:$A,POTracking!$D:$D,""))</f>
        <v>45972</v>
      </c>
      <c r="K272" s="9">
        <f t="shared" si="17"/>
        <v>-3</v>
      </c>
      <c r="L272" t="str">
        <f t="shared" si="18"/>
        <v>On Time/Early</v>
      </c>
      <c r="M272" s="10">
        <f t="shared" si="19"/>
        <v>23</v>
      </c>
    </row>
    <row r="273" spans="1:13">
      <c r="A273" t="s">
        <v>824</v>
      </c>
      <c r="B273" t="s">
        <v>270</v>
      </c>
      <c r="C273" s="2">
        <v>45774</v>
      </c>
      <c r="D273" s="2">
        <v>45781</v>
      </c>
      <c r="E273" t="s">
        <v>548</v>
      </c>
      <c r="F273" t="s">
        <v>545</v>
      </c>
      <c r="G273" t="s">
        <v>552</v>
      </c>
      <c r="H273">
        <v>45</v>
      </c>
      <c r="I273" t="str">
        <f t="shared" si="16"/>
        <v>Complete</v>
      </c>
      <c r="J273" s="8">
        <f>IF(_xlfn.XLOOKUP(A273,POTracking!$A:$A,POTracking!$D:$D,"")=0,"",_xlfn.XLOOKUP(A273,POTracking!$A:$A,POTracking!$D:$D,""))</f>
        <v>45796</v>
      </c>
      <c r="K273" s="9">
        <f t="shared" si="17"/>
        <v>15</v>
      </c>
      <c r="L273" t="str">
        <f t="shared" si="18"/>
        <v>Late</v>
      </c>
      <c r="M273" s="10">
        <f t="shared" si="19"/>
        <v>22</v>
      </c>
    </row>
    <row r="274" spans="1:13">
      <c r="A274" t="s">
        <v>825</v>
      </c>
      <c r="B274" t="s">
        <v>247</v>
      </c>
      <c r="C274" s="2">
        <v>45738</v>
      </c>
      <c r="D274" s="2">
        <v>45742</v>
      </c>
      <c r="E274" t="s">
        <v>548</v>
      </c>
      <c r="F274" t="s">
        <v>545</v>
      </c>
      <c r="G274" t="s">
        <v>549</v>
      </c>
      <c r="H274">
        <v>30</v>
      </c>
      <c r="I274" t="str">
        <f t="shared" si="16"/>
        <v>Complete</v>
      </c>
      <c r="J274" s="8">
        <f>IF(_xlfn.XLOOKUP(A274,POTracking!$A:$A,POTracking!$D:$D,"")=0,"",_xlfn.XLOOKUP(A274,POTracking!$A:$A,POTracking!$D:$D,""))</f>
        <v>45748</v>
      </c>
      <c r="K274" s="9">
        <f t="shared" si="17"/>
        <v>6</v>
      </c>
      <c r="L274" t="str">
        <f t="shared" si="18"/>
        <v>Late</v>
      </c>
      <c r="M274" s="10">
        <f t="shared" si="19"/>
        <v>10</v>
      </c>
    </row>
    <row r="275" spans="1:13">
      <c r="A275" t="s">
        <v>826</v>
      </c>
      <c r="B275" t="s">
        <v>251</v>
      </c>
      <c r="C275" s="2">
        <v>45979</v>
      </c>
      <c r="D275" s="2">
        <v>46008</v>
      </c>
      <c r="E275" t="s">
        <v>548</v>
      </c>
      <c r="F275" t="s">
        <v>545</v>
      </c>
      <c r="G275" t="s">
        <v>546</v>
      </c>
      <c r="H275">
        <v>45</v>
      </c>
      <c r="I275" t="str">
        <f t="shared" si="16"/>
        <v>Complete</v>
      </c>
      <c r="J275" s="8">
        <f>IF(_xlfn.XLOOKUP(A275,POTracking!$A:$A,POTracking!$D:$D,"")=0,"",_xlfn.XLOOKUP(A275,POTracking!$A:$A,POTracking!$D:$D,""))</f>
        <v>46009</v>
      </c>
      <c r="K275" s="9">
        <f t="shared" si="17"/>
        <v>1</v>
      </c>
      <c r="L275" t="str">
        <f t="shared" si="18"/>
        <v>Late</v>
      </c>
      <c r="M275" s="10">
        <f t="shared" si="19"/>
        <v>30</v>
      </c>
    </row>
    <row r="276" spans="1:13">
      <c r="A276" t="s">
        <v>827</v>
      </c>
      <c r="B276" t="s">
        <v>247</v>
      </c>
      <c r="C276" s="2">
        <v>45783</v>
      </c>
      <c r="D276" s="2">
        <v>45815</v>
      </c>
      <c r="E276" t="s">
        <v>548</v>
      </c>
      <c r="F276" t="s">
        <v>545</v>
      </c>
      <c r="G276" t="s">
        <v>546</v>
      </c>
      <c r="H276">
        <v>45</v>
      </c>
      <c r="I276" t="str">
        <f t="shared" si="16"/>
        <v>Complete</v>
      </c>
      <c r="J276" s="8">
        <f>IF(_xlfn.XLOOKUP(A276,POTracking!$A:$A,POTracking!$D:$D,"")=0,"",_xlfn.XLOOKUP(A276,POTracking!$A:$A,POTracking!$D:$D,""))</f>
        <v>45815</v>
      </c>
      <c r="K276" s="9">
        <f t="shared" si="17"/>
        <v>0</v>
      </c>
      <c r="L276" t="str">
        <f t="shared" si="18"/>
        <v>On Time/Early</v>
      </c>
      <c r="M276" s="10">
        <f t="shared" si="19"/>
        <v>32</v>
      </c>
    </row>
    <row r="277" spans="1:13">
      <c r="A277" t="s">
        <v>828</v>
      </c>
      <c r="B277" t="s">
        <v>263</v>
      </c>
      <c r="C277" s="2">
        <v>45711</v>
      </c>
      <c r="D277" s="2">
        <v>45728</v>
      </c>
      <c r="E277" t="s">
        <v>551</v>
      </c>
      <c r="F277" t="s">
        <v>545</v>
      </c>
      <c r="G277" t="s">
        <v>556</v>
      </c>
      <c r="H277">
        <v>45</v>
      </c>
      <c r="I277" t="str">
        <f t="shared" si="16"/>
        <v>Urgent Follow-Up</v>
      </c>
      <c r="J277" s="8" t="str">
        <f>IF(_xlfn.XLOOKUP(A277,POTracking!$A:$A,POTracking!$D:$D,"")=0,"",_xlfn.XLOOKUP(A277,POTracking!$A:$A,POTracking!$D:$D,""))</f>
        <v/>
      </c>
      <c r="K277" s="9" t="str">
        <f t="shared" si="17"/>
        <v/>
      </c>
      <c r="L277" t="str">
        <f t="shared" si="18"/>
        <v>Not Yet Received</v>
      </c>
      <c r="M277" s="10" t="str">
        <f t="shared" si="19"/>
        <v/>
      </c>
    </row>
    <row r="278" spans="1:13">
      <c r="A278" t="s">
        <v>829</v>
      </c>
      <c r="B278" t="s">
        <v>259</v>
      </c>
      <c r="C278" s="2">
        <v>45737</v>
      </c>
      <c r="D278" s="2">
        <v>45744</v>
      </c>
      <c r="E278" t="s">
        <v>548</v>
      </c>
      <c r="F278" t="s">
        <v>545</v>
      </c>
      <c r="G278" t="s">
        <v>549</v>
      </c>
      <c r="H278">
        <v>30</v>
      </c>
      <c r="I278" t="str">
        <f t="shared" si="16"/>
        <v>Complete</v>
      </c>
      <c r="J278" s="8">
        <f>IF(_xlfn.XLOOKUP(A278,POTracking!$A:$A,POTracking!$D:$D,"")=0,"",_xlfn.XLOOKUP(A278,POTracking!$A:$A,POTracking!$D:$D,""))</f>
        <v>45758</v>
      </c>
      <c r="K278" s="9">
        <f t="shared" si="17"/>
        <v>14</v>
      </c>
      <c r="L278" t="str">
        <f t="shared" si="18"/>
        <v>Late</v>
      </c>
      <c r="M278" s="10">
        <f t="shared" si="19"/>
        <v>21</v>
      </c>
    </row>
    <row r="279" spans="1:13">
      <c r="A279" t="s">
        <v>830</v>
      </c>
      <c r="B279" t="s">
        <v>284</v>
      </c>
      <c r="C279" s="2">
        <v>45780</v>
      </c>
      <c r="D279" s="2">
        <v>45798</v>
      </c>
      <c r="E279" t="s">
        <v>548</v>
      </c>
      <c r="F279" t="s">
        <v>545</v>
      </c>
      <c r="G279" t="s">
        <v>556</v>
      </c>
      <c r="H279">
        <v>30</v>
      </c>
      <c r="I279" t="str">
        <f t="shared" si="16"/>
        <v>Complete</v>
      </c>
      <c r="J279" s="8">
        <f>IF(_xlfn.XLOOKUP(A279,POTracking!$A:$A,POTracking!$D:$D,"")=0,"",_xlfn.XLOOKUP(A279,POTracking!$A:$A,POTracking!$D:$D,""))</f>
        <v>45793</v>
      </c>
      <c r="K279" s="9">
        <f t="shared" si="17"/>
        <v>-5</v>
      </c>
      <c r="L279" t="str">
        <f t="shared" si="18"/>
        <v>On Time/Early</v>
      </c>
      <c r="M279" s="10">
        <f t="shared" si="19"/>
        <v>13</v>
      </c>
    </row>
    <row r="280" spans="1:13">
      <c r="A280" t="s">
        <v>831</v>
      </c>
      <c r="B280" t="s">
        <v>266</v>
      </c>
      <c r="C280" s="2">
        <v>45911</v>
      </c>
      <c r="D280" s="2">
        <v>45916</v>
      </c>
      <c r="E280" t="s">
        <v>548</v>
      </c>
      <c r="F280" t="s">
        <v>545</v>
      </c>
      <c r="G280" t="s">
        <v>561</v>
      </c>
      <c r="H280">
        <v>30</v>
      </c>
      <c r="I280" t="str">
        <f t="shared" si="16"/>
        <v>Complete</v>
      </c>
      <c r="J280" s="8">
        <f>IF(_xlfn.XLOOKUP(A280,POTracking!$A:$A,POTracking!$D:$D,"")=0,"",_xlfn.XLOOKUP(A280,POTracking!$A:$A,POTracking!$D:$D,""))</f>
        <v>45909</v>
      </c>
      <c r="K280" s="9">
        <f t="shared" si="17"/>
        <v>-7</v>
      </c>
      <c r="L280" t="str">
        <f t="shared" si="18"/>
        <v>On Time/Early</v>
      </c>
      <c r="M280" s="10">
        <f t="shared" si="19"/>
        <v>-2</v>
      </c>
    </row>
    <row r="281" spans="1:13">
      <c r="A281" t="s">
        <v>832</v>
      </c>
      <c r="B281" t="s">
        <v>255</v>
      </c>
      <c r="C281" s="2">
        <v>45702</v>
      </c>
      <c r="D281" s="2">
        <v>45710</v>
      </c>
      <c r="E281" t="s">
        <v>548</v>
      </c>
      <c r="F281" t="s">
        <v>545</v>
      </c>
      <c r="G281" t="s">
        <v>549</v>
      </c>
      <c r="H281">
        <v>45</v>
      </c>
      <c r="I281" t="str">
        <f t="shared" si="16"/>
        <v>Complete</v>
      </c>
      <c r="J281" s="8">
        <f>IF(_xlfn.XLOOKUP(A281,POTracking!$A:$A,POTracking!$D:$D,"")=0,"",_xlfn.XLOOKUP(A281,POTracking!$A:$A,POTracking!$D:$D,""))</f>
        <v>45736</v>
      </c>
      <c r="K281" s="9">
        <f t="shared" si="17"/>
        <v>26</v>
      </c>
      <c r="L281" t="str">
        <f t="shared" si="18"/>
        <v>Late</v>
      </c>
      <c r="M281" s="10">
        <f t="shared" si="19"/>
        <v>34</v>
      </c>
    </row>
    <row r="282" spans="1:13">
      <c r="A282" t="s">
        <v>833</v>
      </c>
      <c r="B282" t="s">
        <v>236</v>
      </c>
      <c r="C282" s="2">
        <v>45957</v>
      </c>
      <c r="D282" s="2">
        <v>45980</v>
      </c>
      <c r="E282" t="s">
        <v>548</v>
      </c>
      <c r="F282" t="s">
        <v>545</v>
      </c>
      <c r="G282" t="s">
        <v>549</v>
      </c>
      <c r="H282">
        <v>60</v>
      </c>
      <c r="I282" t="str">
        <f t="shared" si="16"/>
        <v>Complete</v>
      </c>
      <c r="J282" s="8">
        <f>IF(_xlfn.XLOOKUP(A282,POTracking!$A:$A,POTracking!$D:$D,"")=0,"",_xlfn.XLOOKUP(A282,POTracking!$A:$A,POTracking!$D:$D,""))</f>
        <v>45972</v>
      </c>
      <c r="K282" s="9">
        <f t="shared" si="17"/>
        <v>-8</v>
      </c>
      <c r="L282" t="str">
        <f t="shared" si="18"/>
        <v>On Time/Early</v>
      </c>
      <c r="M282" s="10">
        <f t="shared" si="19"/>
        <v>15</v>
      </c>
    </row>
    <row r="283" spans="1:13">
      <c r="A283" t="s">
        <v>834</v>
      </c>
      <c r="B283" t="s">
        <v>251</v>
      </c>
      <c r="C283" s="2">
        <v>45765</v>
      </c>
      <c r="D283" s="2">
        <v>45771</v>
      </c>
      <c r="E283" t="s">
        <v>558</v>
      </c>
      <c r="F283" t="s">
        <v>545</v>
      </c>
      <c r="G283" t="s">
        <v>556</v>
      </c>
      <c r="H283">
        <v>30</v>
      </c>
      <c r="I283" t="str">
        <f t="shared" si="16"/>
        <v>Monitor</v>
      </c>
      <c r="J283" s="8">
        <f>IF(_xlfn.XLOOKUP(A283,POTracking!$A:$A,POTracking!$D:$D,"")=0,"",_xlfn.XLOOKUP(A283,POTracking!$A:$A,POTracking!$D:$D,""))</f>
        <v>45771</v>
      </c>
      <c r="K283" s="9">
        <f t="shared" si="17"/>
        <v>0</v>
      </c>
      <c r="L283" t="str">
        <f t="shared" si="18"/>
        <v>On Time/Early</v>
      </c>
      <c r="M283" s="10">
        <f t="shared" si="19"/>
        <v>6</v>
      </c>
    </row>
    <row r="284" spans="1:13">
      <c r="A284" t="s">
        <v>835</v>
      </c>
      <c r="B284" t="s">
        <v>284</v>
      </c>
      <c r="C284" s="2">
        <v>45658</v>
      </c>
      <c r="D284" s="2">
        <v>45662</v>
      </c>
      <c r="E284" t="s">
        <v>548</v>
      </c>
      <c r="F284" t="s">
        <v>545</v>
      </c>
      <c r="G284" t="s">
        <v>561</v>
      </c>
      <c r="H284">
        <v>45</v>
      </c>
      <c r="I284" t="str">
        <f t="shared" si="16"/>
        <v>Complete</v>
      </c>
      <c r="J284" s="8">
        <f>IF(_xlfn.XLOOKUP(A284,POTracking!$A:$A,POTracking!$D:$D,"")=0,"",_xlfn.XLOOKUP(A284,POTracking!$A:$A,POTracking!$D:$D,""))</f>
        <v>45662</v>
      </c>
      <c r="K284" s="9">
        <f t="shared" si="17"/>
        <v>0</v>
      </c>
      <c r="L284" t="str">
        <f t="shared" si="18"/>
        <v>On Time/Early</v>
      </c>
      <c r="M284" s="10">
        <f t="shared" si="19"/>
        <v>4</v>
      </c>
    </row>
    <row r="285" spans="1:13">
      <c r="A285" t="s">
        <v>836</v>
      </c>
      <c r="B285" t="s">
        <v>236</v>
      </c>
      <c r="C285" s="2">
        <v>45890</v>
      </c>
      <c r="D285" s="2">
        <v>45900</v>
      </c>
      <c r="E285" t="s">
        <v>548</v>
      </c>
      <c r="F285" t="s">
        <v>545</v>
      </c>
      <c r="G285" t="s">
        <v>552</v>
      </c>
      <c r="H285">
        <v>45</v>
      </c>
      <c r="I285" t="str">
        <f t="shared" si="16"/>
        <v>Complete</v>
      </c>
      <c r="J285" s="8">
        <f>IF(_xlfn.XLOOKUP(A285,POTracking!$A:$A,POTracking!$D:$D,"")=0,"",_xlfn.XLOOKUP(A285,POTracking!$A:$A,POTracking!$D:$D,""))</f>
        <v>45911</v>
      </c>
      <c r="K285" s="9">
        <f t="shared" si="17"/>
        <v>11</v>
      </c>
      <c r="L285" t="str">
        <f t="shared" si="18"/>
        <v>Late</v>
      </c>
      <c r="M285" s="10">
        <f t="shared" si="19"/>
        <v>21</v>
      </c>
    </row>
    <row r="286" spans="1:13">
      <c r="A286" t="s">
        <v>837</v>
      </c>
      <c r="B286" t="s">
        <v>286</v>
      </c>
      <c r="C286" s="2">
        <v>45745</v>
      </c>
      <c r="D286" s="2">
        <v>45773</v>
      </c>
      <c r="E286" t="s">
        <v>551</v>
      </c>
      <c r="F286" t="s">
        <v>545</v>
      </c>
      <c r="G286" t="s">
        <v>549</v>
      </c>
      <c r="H286">
        <v>60</v>
      </c>
      <c r="I286" t="str">
        <f t="shared" si="16"/>
        <v>Urgent Follow-Up</v>
      </c>
      <c r="J286" s="8" t="str">
        <f>IF(_xlfn.XLOOKUP(A286,POTracking!$A:$A,POTracking!$D:$D,"")=0,"",_xlfn.XLOOKUP(A286,POTracking!$A:$A,POTracking!$D:$D,""))</f>
        <v/>
      </c>
      <c r="K286" s="9" t="str">
        <f t="shared" si="17"/>
        <v/>
      </c>
      <c r="L286" t="str">
        <f t="shared" si="18"/>
        <v>Not Yet Received</v>
      </c>
      <c r="M286" s="10" t="str">
        <f t="shared" si="19"/>
        <v/>
      </c>
    </row>
    <row r="287" spans="1:13">
      <c r="A287" t="s">
        <v>838</v>
      </c>
      <c r="B287" t="s">
        <v>263</v>
      </c>
      <c r="C287" s="2">
        <v>45935</v>
      </c>
      <c r="D287" s="2">
        <v>45937</v>
      </c>
      <c r="E287" t="s">
        <v>548</v>
      </c>
      <c r="F287" t="s">
        <v>545</v>
      </c>
      <c r="G287" t="s">
        <v>546</v>
      </c>
      <c r="H287">
        <v>45</v>
      </c>
      <c r="I287" t="str">
        <f t="shared" si="16"/>
        <v>Complete</v>
      </c>
      <c r="J287" s="8">
        <f>IF(_xlfn.XLOOKUP(A287,POTracking!$A:$A,POTracking!$D:$D,"")=0,"",_xlfn.XLOOKUP(A287,POTracking!$A:$A,POTracking!$D:$D,""))</f>
        <v>45945</v>
      </c>
      <c r="K287" s="9">
        <f t="shared" si="17"/>
        <v>8</v>
      </c>
      <c r="L287" t="str">
        <f t="shared" si="18"/>
        <v>Late</v>
      </c>
      <c r="M287" s="10">
        <f t="shared" si="19"/>
        <v>10</v>
      </c>
    </row>
    <row r="288" spans="1:13">
      <c r="A288" t="s">
        <v>839</v>
      </c>
      <c r="B288" t="s">
        <v>280</v>
      </c>
      <c r="C288" s="2">
        <v>45982</v>
      </c>
      <c r="D288" s="2">
        <v>46006</v>
      </c>
      <c r="E288" t="s">
        <v>548</v>
      </c>
      <c r="F288" t="s">
        <v>545</v>
      </c>
      <c r="G288" t="s">
        <v>561</v>
      </c>
      <c r="H288">
        <v>30</v>
      </c>
      <c r="I288" t="str">
        <f t="shared" si="16"/>
        <v>Complete</v>
      </c>
      <c r="J288" s="8">
        <f>IF(_xlfn.XLOOKUP(A288,POTracking!$A:$A,POTracking!$D:$D,"")=0,"",_xlfn.XLOOKUP(A288,POTracking!$A:$A,POTracking!$D:$D,""))</f>
        <v>46008</v>
      </c>
      <c r="K288" s="9">
        <f t="shared" si="17"/>
        <v>2</v>
      </c>
      <c r="L288" t="str">
        <f t="shared" si="18"/>
        <v>Late</v>
      </c>
      <c r="M288" s="10">
        <f t="shared" si="19"/>
        <v>26</v>
      </c>
    </row>
    <row r="289" spans="1:13">
      <c r="A289" t="s">
        <v>840</v>
      </c>
      <c r="B289" t="s">
        <v>251</v>
      </c>
      <c r="C289" s="2">
        <v>45698</v>
      </c>
      <c r="D289" s="2">
        <v>45725</v>
      </c>
      <c r="E289" t="s">
        <v>548</v>
      </c>
      <c r="F289" t="s">
        <v>545</v>
      </c>
      <c r="G289" t="s">
        <v>552</v>
      </c>
      <c r="H289">
        <v>30</v>
      </c>
      <c r="I289" t="str">
        <f t="shared" si="16"/>
        <v>Complete</v>
      </c>
      <c r="J289" s="8">
        <f>IF(_xlfn.XLOOKUP(A289,POTracking!$A:$A,POTracking!$D:$D,"")=0,"",_xlfn.XLOOKUP(A289,POTracking!$A:$A,POTracking!$D:$D,""))</f>
        <v>45724</v>
      </c>
      <c r="K289" s="9">
        <f t="shared" si="17"/>
        <v>-1</v>
      </c>
      <c r="L289" t="str">
        <f t="shared" si="18"/>
        <v>On Time/Early</v>
      </c>
      <c r="M289" s="10">
        <f t="shared" si="19"/>
        <v>26</v>
      </c>
    </row>
    <row r="290" spans="1:13">
      <c r="A290" t="s">
        <v>841</v>
      </c>
      <c r="B290" t="s">
        <v>263</v>
      </c>
      <c r="C290" s="2">
        <v>45777</v>
      </c>
      <c r="D290" s="2">
        <v>45780</v>
      </c>
      <c r="E290" t="s">
        <v>551</v>
      </c>
      <c r="F290" t="s">
        <v>545</v>
      </c>
      <c r="G290" t="s">
        <v>552</v>
      </c>
      <c r="H290">
        <v>30</v>
      </c>
      <c r="I290" t="str">
        <f t="shared" si="16"/>
        <v>Urgent Follow-Up</v>
      </c>
      <c r="J290" s="8" t="str">
        <f>IF(_xlfn.XLOOKUP(A290,POTracking!$A:$A,POTracking!$D:$D,"")=0,"",_xlfn.XLOOKUP(A290,POTracking!$A:$A,POTracking!$D:$D,""))</f>
        <v/>
      </c>
      <c r="K290" s="9" t="str">
        <f t="shared" si="17"/>
        <v/>
      </c>
      <c r="L290" t="str">
        <f t="shared" si="18"/>
        <v>Not Yet Received</v>
      </c>
      <c r="M290" s="10" t="str">
        <f t="shared" si="19"/>
        <v/>
      </c>
    </row>
    <row r="291" spans="1:13">
      <c r="A291" t="s">
        <v>842</v>
      </c>
      <c r="B291" t="s">
        <v>255</v>
      </c>
      <c r="C291" s="2">
        <v>45969</v>
      </c>
      <c r="D291" s="2">
        <v>46002</v>
      </c>
      <c r="E291" t="s">
        <v>558</v>
      </c>
      <c r="F291" t="s">
        <v>545</v>
      </c>
      <c r="G291" t="s">
        <v>549</v>
      </c>
      <c r="H291">
        <v>30</v>
      </c>
      <c r="I291" t="str">
        <f t="shared" si="16"/>
        <v>Monitor</v>
      </c>
      <c r="J291" s="8">
        <f>IF(_xlfn.XLOOKUP(A291,POTracking!$A:$A,POTracking!$D:$D,"")=0,"",_xlfn.XLOOKUP(A291,POTracking!$A:$A,POTracking!$D:$D,""))</f>
        <v>46004</v>
      </c>
      <c r="K291" s="9">
        <f t="shared" si="17"/>
        <v>2</v>
      </c>
      <c r="L291" t="str">
        <f t="shared" si="18"/>
        <v>Late</v>
      </c>
      <c r="M291" s="10">
        <f t="shared" si="19"/>
        <v>35</v>
      </c>
    </row>
    <row r="292" spans="1:13">
      <c r="A292" t="s">
        <v>843</v>
      </c>
      <c r="B292" t="s">
        <v>274</v>
      </c>
      <c r="C292" s="2">
        <v>45778</v>
      </c>
      <c r="D292" s="2">
        <v>45791</v>
      </c>
      <c r="E292" t="s">
        <v>558</v>
      </c>
      <c r="F292" t="s">
        <v>545</v>
      </c>
      <c r="G292" t="s">
        <v>556</v>
      </c>
      <c r="H292">
        <v>30</v>
      </c>
      <c r="I292" t="str">
        <f t="shared" si="16"/>
        <v>Monitor</v>
      </c>
      <c r="J292" s="8" t="str">
        <f>IF(_xlfn.XLOOKUP(A292,POTracking!$A:$A,POTracking!$D:$D,"")=0,"",_xlfn.XLOOKUP(A292,POTracking!$A:$A,POTracking!$D:$D,""))</f>
        <v/>
      </c>
      <c r="K292" s="9" t="str">
        <f t="shared" si="17"/>
        <v/>
      </c>
      <c r="L292" t="str">
        <f t="shared" si="18"/>
        <v>Not Yet Received</v>
      </c>
      <c r="M292" s="10" t="str">
        <f t="shared" si="19"/>
        <v/>
      </c>
    </row>
    <row r="293" spans="1:13">
      <c r="A293" t="s">
        <v>844</v>
      </c>
      <c r="B293" t="s">
        <v>259</v>
      </c>
      <c r="C293" s="2">
        <v>45857</v>
      </c>
      <c r="D293" s="2">
        <v>45871</v>
      </c>
      <c r="E293" t="s">
        <v>548</v>
      </c>
      <c r="F293" t="s">
        <v>545</v>
      </c>
      <c r="G293" t="s">
        <v>556</v>
      </c>
      <c r="H293">
        <v>45</v>
      </c>
      <c r="I293" t="str">
        <f t="shared" si="16"/>
        <v>Complete</v>
      </c>
      <c r="J293" s="8">
        <f>IF(_xlfn.XLOOKUP(A293,POTracking!$A:$A,POTracking!$D:$D,"")=0,"",_xlfn.XLOOKUP(A293,POTracking!$A:$A,POTracking!$D:$D,""))</f>
        <v>45875</v>
      </c>
      <c r="K293" s="9">
        <f t="shared" si="17"/>
        <v>4</v>
      </c>
      <c r="L293" t="str">
        <f t="shared" si="18"/>
        <v>Late</v>
      </c>
      <c r="M293" s="10">
        <f t="shared" si="19"/>
        <v>18</v>
      </c>
    </row>
    <row r="294" spans="1:13">
      <c r="A294" t="s">
        <v>845</v>
      </c>
      <c r="B294" t="s">
        <v>242</v>
      </c>
      <c r="C294" s="2">
        <v>45978</v>
      </c>
      <c r="D294" s="2">
        <v>46006</v>
      </c>
      <c r="E294" t="s">
        <v>551</v>
      </c>
      <c r="F294" t="s">
        <v>545</v>
      </c>
      <c r="G294" t="s">
        <v>556</v>
      </c>
      <c r="H294">
        <v>30</v>
      </c>
      <c r="I294" t="str">
        <f t="shared" si="16"/>
        <v>Urgent Follow-Up</v>
      </c>
      <c r="J294" s="8" t="str">
        <f>IF(_xlfn.XLOOKUP(A294,POTracking!$A:$A,POTracking!$D:$D,"")=0,"",_xlfn.XLOOKUP(A294,POTracking!$A:$A,POTracking!$D:$D,""))</f>
        <v/>
      </c>
      <c r="K294" s="9" t="str">
        <f t="shared" si="17"/>
        <v/>
      </c>
      <c r="L294" t="str">
        <f t="shared" si="18"/>
        <v>Not Yet Received</v>
      </c>
      <c r="M294" s="10" t="str">
        <f t="shared" si="19"/>
        <v/>
      </c>
    </row>
    <row r="295" spans="1:13">
      <c r="A295" t="s">
        <v>846</v>
      </c>
      <c r="B295" t="s">
        <v>268</v>
      </c>
      <c r="C295" s="2">
        <v>45883</v>
      </c>
      <c r="D295" s="2">
        <v>45908</v>
      </c>
      <c r="E295" t="s">
        <v>548</v>
      </c>
      <c r="F295" t="s">
        <v>545</v>
      </c>
      <c r="G295" t="s">
        <v>556</v>
      </c>
      <c r="H295">
        <v>60</v>
      </c>
      <c r="I295" t="str">
        <f t="shared" si="16"/>
        <v>Complete</v>
      </c>
      <c r="J295" s="8">
        <f>IF(_xlfn.XLOOKUP(A295,POTracking!$A:$A,POTracking!$D:$D,"")=0,"",_xlfn.XLOOKUP(A295,POTracking!$A:$A,POTracking!$D:$D,""))</f>
        <v>45908</v>
      </c>
      <c r="K295" s="9">
        <f t="shared" si="17"/>
        <v>0</v>
      </c>
      <c r="L295" t="str">
        <f t="shared" si="18"/>
        <v>On Time/Early</v>
      </c>
      <c r="M295" s="10">
        <f t="shared" si="19"/>
        <v>25</v>
      </c>
    </row>
    <row r="296" spans="1:13">
      <c r="A296" t="s">
        <v>847</v>
      </c>
      <c r="B296" t="s">
        <v>268</v>
      </c>
      <c r="C296" s="2">
        <v>45746</v>
      </c>
      <c r="D296" s="2">
        <v>45758</v>
      </c>
      <c r="E296" t="s">
        <v>548</v>
      </c>
      <c r="F296" t="s">
        <v>545</v>
      </c>
      <c r="G296" t="s">
        <v>549</v>
      </c>
      <c r="H296">
        <v>45</v>
      </c>
      <c r="I296" t="str">
        <f t="shared" si="16"/>
        <v>Complete</v>
      </c>
      <c r="J296" s="8">
        <f>IF(_xlfn.XLOOKUP(A296,POTracking!$A:$A,POTracking!$D:$D,"")=0,"",_xlfn.XLOOKUP(A296,POTracking!$A:$A,POTracking!$D:$D,""))</f>
        <v>45756</v>
      </c>
      <c r="K296" s="9">
        <f t="shared" si="17"/>
        <v>-2</v>
      </c>
      <c r="L296" t="str">
        <f t="shared" si="18"/>
        <v>On Time/Early</v>
      </c>
      <c r="M296" s="10">
        <f t="shared" si="19"/>
        <v>10</v>
      </c>
    </row>
    <row r="297" spans="1:13">
      <c r="A297" t="s">
        <v>848</v>
      </c>
      <c r="B297" t="s">
        <v>257</v>
      </c>
      <c r="C297" s="2">
        <v>45915</v>
      </c>
      <c r="D297" s="2">
        <v>45943</v>
      </c>
      <c r="E297" t="s">
        <v>558</v>
      </c>
      <c r="F297" t="s">
        <v>545</v>
      </c>
      <c r="G297" t="s">
        <v>556</v>
      </c>
      <c r="H297">
        <v>30</v>
      </c>
      <c r="I297" t="str">
        <f t="shared" si="16"/>
        <v>Monitor</v>
      </c>
      <c r="J297" s="8">
        <f>IF(_xlfn.XLOOKUP(A297,POTracking!$A:$A,POTracking!$D:$D,"")=0,"",_xlfn.XLOOKUP(A297,POTracking!$A:$A,POTracking!$D:$D,""))</f>
        <v>45923</v>
      </c>
      <c r="K297" s="9">
        <f t="shared" si="17"/>
        <v>-20</v>
      </c>
      <c r="L297" t="str">
        <f t="shared" si="18"/>
        <v>On Time/Early</v>
      </c>
      <c r="M297" s="10">
        <f t="shared" si="19"/>
        <v>8</v>
      </c>
    </row>
    <row r="298" spans="1:13">
      <c r="A298" t="s">
        <v>849</v>
      </c>
      <c r="B298" t="s">
        <v>266</v>
      </c>
      <c r="C298" s="2">
        <v>45741</v>
      </c>
      <c r="D298" s="2">
        <v>45768</v>
      </c>
      <c r="E298" t="s">
        <v>558</v>
      </c>
      <c r="F298" t="s">
        <v>545</v>
      </c>
      <c r="G298" t="s">
        <v>561</v>
      </c>
      <c r="H298">
        <v>60</v>
      </c>
      <c r="I298" t="str">
        <f t="shared" si="16"/>
        <v>Monitor</v>
      </c>
      <c r="J298" s="8">
        <f>IF(_xlfn.XLOOKUP(A298,POTracking!$A:$A,POTracking!$D:$D,"")=0,"",_xlfn.XLOOKUP(A298,POTracking!$A:$A,POTracking!$D:$D,""))</f>
        <v>45769</v>
      </c>
      <c r="K298" s="9">
        <f t="shared" si="17"/>
        <v>1</v>
      </c>
      <c r="L298" t="str">
        <f t="shared" si="18"/>
        <v>Late</v>
      </c>
      <c r="M298" s="10">
        <f t="shared" si="19"/>
        <v>28</v>
      </c>
    </row>
    <row r="299" spans="1:13">
      <c r="A299" t="s">
        <v>850</v>
      </c>
      <c r="B299" t="s">
        <v>261</v>
      </c>
      <c r="C299" s="2">
        <v>45999</v>
      </c>
      <c r="D299" s="2">
        <v>46023</v>
      </c>
      <c r="E299" t="s">
        <v>558</v>
      </c>
      <c r="F299" t="s">
        <v>545</v>
      </c>
      <c r="G299" t="s">
        <v>546</v>
      </c>
      <c r="H299">
        <v>30</v>
      </c>
      <c r="I299" t="str">
        <f t="shared" si="16"/>
        <v>Monitor</v>
      </c>
      <c r="J299" s="8" t="str">
        <f>IF(_xlfn.XLOOKUP(A299,POTracking!$A:$A,POTracking!$D:$D,"")=0,"",_xlfn.XLOOKUP(A299,POTracking!$A:$A,POTracking!$D:$D,""))</f>
        <v/>
      </c>
      <c r="K299" s="9" t="str">
        <f t="shared" si="17"/>
        <v/>
      </c>
      <c r="L299" t="str">
        <f t="shared" si="18"/>
        <v>Not Yet Received</v>
      </c>
      <c r="M299" s="10" t="str">
        <f t="shared" si="19"/>
        <v/>
      </c>
    </row>
    <row r="300" spans="1:13">
      <c r="A300" t="s">
        <v>851</v>
      </c>
      <c r="B300" t="s">
        <v>242</v>
      </c>
      <c r="C300" s="2">
        <v>45668</v>
      </c>
      <c r="D300" s="2">
        <v>45696</v>
      </c>
      <c r="E300" t="s">
        <v>558</v>
      </c>
      <c r="F300" t="s">
        <v>545</v>
      </c>
      <c r="G300" t="s">
        <v>556</v>
      </c>
      <c r="H300">
        <v>60</v>
      </c>
      <c r="I300" t="str">
        <f t="shared" si="16"/>
        <v>Monitor</v>
      </c>
      <c r="J300" s="8" t="str">
        <f>IF(_xlfn.XLOOKUP(A300,POTracking!$A:$A,POTracking!$D:$D,"")=0,"",_xlfn.XLOOKUP(A300,POTracking!$A:$A,POTracking!$D:$D,""))</f>
        <v/>
      </c>
      <c r="K300" s="9" t="str">
        <f t="shared" si="17"/>
        <v/>
      </c>
      <c r="L300" t="str">
        <f t="shared" si="18"/>
        <v>Not Yet Received</v>
      </c>
      <c r="M300" s="10" t="str">
        <f t="shared" si="19"/>
        <v/>
      </c>
    </row>
    <row r="301" spans="1:13">
      <c r="A301" t="s">
        <v>852</v>
      </c>
      <c r="B301" t="s">
        <v>270</v>
      </c>
      <c r="C301" s="2">
        <v>45849</v>
      </c>
      <c r="D301" s="2">
        <v>45862</v>
      </c>
      <c r="E301" t="s">
        <v>558</v>
      </c>
      <c r="F301" t="s">
        <v>545</v>
      </c>
      <c r="G301" t="s">
        <v>546</v>
      </c>
      <c r="H301">
        <v>60</v>
      </c>
      <c r="I301" t="str">
        <f t="shared" si="16"/>
        <v>Monitor</v>
      </c>
      <c r="J301" s="8">
        <f>IF(_xlfn.XLOOKUP(A301,POTracking!$A:$A,POTracking!$D:$D,"")=0,"",_xlfn.XLOOKUP(A301,POTracking!$A:$A,POTracking!$D:$D,""))</f>
        <v>45882</v>
      </c>
      <c r="K301" s="9">
        <f t="shared" si="17"/>
        <v>20</v>
      </c>
      <c r="L301" t="str">
        <f t="shared" si="18"/>
        <v>Late</v>
      </c>
      <c r="M301" s="10">
        <f t="shared" si="19"/>
        <v>33</v>
      </c>
    </row>
    <row r="302" spans="1:13">
      <c r="A302" t="s">
        <v>853</v>
      </c>
      <c r="B302" t="s">
        <v>278</v>
      </c>
      <c r="C302" s="2">
        <v>45940</v>
      </c>
      <c r="D302" s="2">
        <v>45969</v>
      </c>
      <c r="E302" t="s">
        <v>548</v>
      </c>
      <c r="F302" t="s">
        <v>545</v>
      </c>
      <c r="G302" t="s">
        <v>561</v>
      </c>
      <c r="H302">
        <v>30</v>
      </c>
      <c r="I302" t="str">
        <f t="shared" si="16"/>
        <v>Complete</v>
      </c>
      <c r="J302" s="8">
        <f>IF(_xlfn.XLOOKUP(A302,POTracking!$A:$A,POTracking!$D:$D,"")=0,"",_xlfn.XLOOKUP(A302,POTracking!$A:$A,POTracking!$D:$D,""))</f>
        <v>45961</v>
      </c>
      <c r="K302" s="9">
        <f t="shared" si="17"/>
        <v>-8</v>
      </c>
      <c r="L302" t="str">
        <f t="shared" si="18"/>
        <v>On Time/Early</v>
      </c>
      <c r="M302" s="10">
        <f t="shared" si="19"/>
        <v>21</v>
      </c>
    </row>
    <row r="303" spans="1:13">
      <c r="A303" t="s">
        <v>854</v>
      </c>
      <c r="B303" t="s">
        <v>242</v>
      </c>
      <c r="C303" s="2">
        <v>45662</v>
      </c>
      <c r="D303" s="2">
        <v>45668</v>
      </c>
      <c r="E303" t="s">
        <v>544</v>
      </c>
      <c r="F303" t="s">
        <v>545</v>
      </c>
      <c r="G303" t="s">
        <v>556</v>
      </c>
      <c r="H303">
        <v>30</v>
      </c>
      <c r="I303" t="str">
        <f t="shared" si="16"/>
        <v>Monitor</v>
      </c>
      <c r="J303" s="8" t="str">
        <f>IF(_xlfn.XLOOKUP(A303,POTracking!$A:$A,POTracking!$D:$D,"")=0,"",_xlfn.XLOOKUP(A303,POTracking!$A:$A,POTracking!$D:$D,""))</f>
        <v/>
      </c>
      <c r="K303" s="9" t="str">
        <f t="shared" si="17"/>
        <v/>
      </c>
      <c r="L303" t="str">
        <f t="shared" si="18"/>
        <v>Not Yet Received</v>
      </c>
      <c r="M303" s="10" t="str">
        <f t="shared" si="19"/>
        <v/>
      </c>
    </row>
    <row r="304" spans="1:13">
      <c r="A304" t="s">
        <v>855</v>
      </c>
      <c r="B304" t="s">
        <v>280</v>
      </c>
      <c r="C304" s="2">
        <v>45982</v>
      </c>
      <c r="D304" s="2">
        <v>46006</v>
      </c>
      <c r="E304" t="s">
        <v>548</v>
      </c>
      <c r="F304" t="s">
        <v>545</v>
      </c>
      <c r="G304" t="s">
        <v>552</v>
      </c>
      <c r="H304">
        <v>60</v>
      </c>
      <c r="I304" t="str">
        <f t="shared" si="16"/>
        <v>Complete</v>
      </c>
      <c r="J304" s="8">
        <f>IF(_xlfn.XLOOKUP(A304,POTracking!$A:$A,POTracking!$D:$D,"")=0,"",_xlfn.XLOOKUP(A304,POTracking!$A:$A,POTracking!$D:$D,""))</f>
        <v>46004</v>
      </c>
      <c r="K304" s="9">
        <f t="shared" si="17"/>
        <v>-2</v>
      </c>
      <c r="L304" t="str">
        <f t="shared" si="18"/>
        <v>On Time/Early</v>
      </c>
      <c r="M304" s="10">
        <f t="shared" si="19"/>
        <v>22</v>
      </c>
    </row>
    <row r="305" spans="1:13">
      <c r="A305" t="s">
        <v>856</v>
      </c>
      <c r="B305" t="s">
        <v>268</v>
      </c>
      <c r="C305" s="2">
        <v>45888</v>
      </c>
      <c r="D305" s="2">
        <v>45907</v>
      </c>
      <c r="E305" t="s">
        <v>548</v>
      </c>
      <c r="F305" t="s">
        <v>545</v>
      </c>
      <c r="G305" t="s">
        <v>561</v>
      </c>
      <c r="H305">
        <v>45</v>
      </c>
      <c r="I305" t="str">
        <f t="shared" si="16"/>
        <v>Complete</v>
      </c>
      <c r="J305" s="8">
        <f>IF(_xlfn.XLOOKUP(A305,POTracking!$A:$A,POTracking!$D:$D,"")=0,"",_xlfn.XLOOKUP(A305,POTracking!$A:$A,POTracking!$D:$D,""))</f>
        <v>45901</v>
      </c>
      <c r="K305" s="9">
        <f t="shared" si="17"/>
        <v>-6</v>
      </c>
      <c r="L305" t="str">
        <f t="shared" si="18"/>
        <v>On Time/Early</v>
      </c>
      <c r="M305" s="10">
        <f t="shared" si="19"/>
        <v>13</v>
      </c>
    </row>
    <row r="306" spans="1:13">
      <c r="A306" t="s">
        <v>857</v>
      </c>
      <c r="B306" t="s">
        <v>284</v>
      </c>
      <c r="C306" s="2">
        <v>45686</v>
      </c>
      <c r="D306" s="2">
        <v>45698</v>
      </c>
      <c r="E306" t="s">
        <v>558</v>
      </c>
      <c r="F306" t="s">
        <v>545</v>
      </c>
      <c r="G306" t="s">
        <v>561</v>
      </c>
      <c r="H306">
        <v>30</v>
      </c>
      <c r="I306" t="str">
        <f t="shared" si="16"/>
        <v>Monitor</v>
      </c>
      <c r="J306" s="8">
        <f>IF(_xlfn.XLOOKUP(A306,POTracking!$A:$A,POTracking!$D:$D,"")=0,"",_xlfn.XLOOKUP(A306,POTracking!$A:$A,POTracking!$D:$D,""))</f>
        <v>45695</v>
      </c>
      <c r="K306" s="9">
        <f t="shared" si="17"/>
        <v>-3</v>
      </c>
      <c r="L306" t="str">
        <f t="shared" si="18"/>
        <v>On Time/Early</v>
      </c>
      <c r="M306" s="10">
        <f t="shared" si="19"/>
        <v>9</v>
      </c>
    </row>
    <row r="307" spans="1:13">
      <c r="A307" t="s">
        <v>858</v>
      </c>
      <c r="B307" t="s">
        <v>247</v>
      </c>
      <c r="C307" s="2">
        <v>45690</v>
      </c>
      <c r="D307" s="2">
        <v>45718</v>
      </c>
      <c r="E307" t="s">
        <v>548</v>
      </c>
      <c r="F307" t="s">
        <v>545</v>
      </c>
      <c r="G307" t="s">
        <v>552</v>
      </c>
      <c r="H307">
        <v>60</v>
      </c>
      <c r="I307" t="str">
        <f t="shared" si="16"/>
        <v>Complete</v>
      </c>
      <c r="J307" s="8">
        <f>IF(_xlfn.XLOOKUP(A307,POTracking!$A:$A,POTracking!$D:$D,"")=0,"",_xlfn.XLOOKUP(A307,POTracking!$A:$A,POTracking!$D:$D,""))</f>
        <v>45712</v>
      </c>
      <c r="K307" s="9">
        <f t="shared" si="17"/>
        <v>-6</v>
      </c>
      <c r="L307" t="str">
        <f t="shared" si="18"/>
        <v>On Time/Early</v>
      </c>
      <c r="M307" s="10">
        <f t="shared" si="19"/>
        <v>22</v>
      </c>
    </row>
    <row r="308" spans="1:13">
      <c r="A308" t="s">
        <v>859</v>
      </c>
      <c r="B308" t="s">
        <v>251</v>
      </c>
      <c r="C308" s="2">
        <v>45713</v>
      </c>
      <c r="D308" s="2">
        <v>45719</v>
      </c>
      <c r="E308" t="s">
        <v>544</v>
      </c>
      <c r="F308" t="s">
        <v>545</v>
      </c>
      <c r="G308" t="s">
        <v>546</v>
      </c>
      <c r="H308">
        <v>60</v>
      </c>
      <c r="I308" t="str">
        <f t="shared" si="16"/>
        <v>Monitor</v>
      </c>
      <c r="J308" s="8" t="str">
        <f>IF(_xlfn.XLOOKUP(A308,POTracking!$A:$A,POTracking!$D:$D,"")=0,"",_xlfn.XLOOKUP(A308,POTracking!$A:$A,POTracking!$D:$D,""))</f>
        <v/>
      </c>
      <c r="K308" s="9" t="str">
        <f t="shared" si="17"/>
        <v/>
      </c>
      <c r="L308" t="str">
        <f t="shared" si="18"/>
        <v>Not Yet Received</v>
      </c>
      <c r="M308" s="10" t="str">
        <f t="shared" si="19"/>
        <v/>
      </c>
    </row>
    <row r="309" spans="1:13">
      <c r="A309" t="s">
        <v>860</v>
      </c>
      <c r="B309" t="s">
        <v>242</v>
      </c>
      <c r="C309" s="2">
        <v>45711</v>
      </c>
      <c r="D309" s="2">
        <v>45718</v>
      </c>
      <c r="E309" t="s">
        <v>548</v>
      </c>
      <c r="F309" t="s">
        <v>545</v>
      </c>
      <c r="G309" t="s">
        <v>556</v>
      </c>
      <c r="H309">
        <v>60</v>
      </c>
      <c r="I309" t="str">
        <f t="shared" si="16"/>
        <v>Complete</v>
      </c>
      <c r="J309" s="8">
        <f>IF(_xlfn.XLOOKUP(A309,POTracking!$A:$A,POTracking!$D:$D,"")=0,"",_xlfn.XLOOKUP(A309,POTracking!$A:$A,POTracking!$D:$D,""))</f>
        <v>45717</v>
      </c>
      <c r="K309" s="9">
        <f t="shared" si="17"/>
        <v>-1</v>
      </c>
      <c r="L309" t="str">
        <f t="shared" si="18"/>
        <v>On Time/Early</v>
      </c>
      <c r="M309" s="10">
        <f t="shared" si="19"/>
        <v>6</v>
      </c>
    </row>
    <row r="310" spans="1:13">
      <c r="A310" t="s">
        <v>861</v>
      </c>
      <c r="B310" t="s">
        <v>272</v>
      </c>
      <c r="C310" s="2">
        <v>45913</v>
      </c>
      <c r="D310" s="2">
        <v>45919</v>
      </c>
      <c r="E310" t="s">
        <v>548</v>
      </c>
      <c r="F310" t="s">
        <v>545</v>
      </c>
      <c r="G310" t="s">
        <v>556</v>
      </c>
      <c r="H310">
        <v>30</v>
      </c>
      <c r="I310" t="str">
        <f t="shared" si="16"/>
        <v>Complete</v>
      </c>
      <c r="J310" s="8">
        <f>IF(_xlfn.XLOOKUP(A310,POTracking!$A:$A,POTracking!$D:$D,"")=0,"",_xlfn.XLOOKUP(A310,POTracking!$A:$A,POTracking!$D:$D,""))</f>
        <v>45916</v>
      </c>
      <c r="K310" s="9">
        <f t="shared" si="17"/>
        <v>-3</v>
      </c>
      <c r="L310" t="str">
        <f t="shared" si="18"/>
        <v>On Time/Early</v>
      </c>
      <c r="M310" s="10">
        <f t="shared" si="19"/>
        <v>3</v>
      </c>
    </row>
    <row r="311" spans="1:13">
      <c r="A311" t="s">
        <v>862</v>
      </c>
      <c r="B311" t="s">
        <v>286</v>
      </c>
      <c r="C311" s="2">
        <v>45793</v>
      </c>
      <c r="D311" s="2">
        <v>45820</v>
      </c>
      <c r="E311" t="s">
        <v>544</v>
      </c>
      <c r="F311" t="s">
        <v>545</v>
      </c>
      <c r="G311" t="s">
        <v>552</v>
      </c>
      <c r="H311">
        <v>60</v>
      </c>
      <c r="I311" t="str">
        <f t="shared" si="16"/>
        <v>Monitor</v>
      </c>
      <c r="J311" s="8" t="str">
        <f>IF(_xlfn.XLOOKUP(A311,POTracking!$A:$A,POTracking!$D:$D,"")=0,"",_xlfn.XLOOKUP(A311,POTracking!$A:$A,POTracking!$D:$D,""))</f>
        <v/>
      </c>
      <c r="K311" s="9" t="str">
        <f t="shared" si="17"/>
        <v/>
      </c>
      <c r="L311" t="str">
        <f t="shared" si="18"/>
        <v>Not Yet Received</v>
      </c>
      <c r="M311" s="10" t="str">
        <f t="shared" si="19"/>
        <v/>
      </c>
    </row>
    <row r="312" spans="1:13">
      <c r="A312" t="s">
        <v>863</v>
      </c>
      <c r="B312" t="s">
        <v>263</v>
      </c>
      <c r="C312" s="2">
        <v>45738</v>
      </c>
      <c r="D312" s="2">
        <v>45741</v>
      </c>
      <c r="E312" t="s">
        <v>548</v>
      </c>
      <c r="F312" t="s">
        <v>545</v>
      </c>
      <c r="G312" t="s">
        <v>552</v>
      </c>
      <c r="H312">
        <v>45</v>
      </c>
      <c r="I312" t="str">
        <f t="shared" si="16"/>
        <v>Complete</v>
      </c>
      <c r="J312" s="8">
        <f>IF(_xlfn.XLOOKUP(A312,POTracking!$A:$A,POTracking!$D:$D,"")=0,"",_xlfn.XLOOKUP(A312,POTracking!$A:$A,POTracking!$D:$D,""))</f>
        <v>45735</v>
      </c>
      <c r="K312" s="9">
        <f t="shared" si="17"/>
        <v>-6</v>
      </c>
      <c r="L312" t="str">
        <f t="shared" si="18"/>
        <v>On Time/Early</v>
      </c>
      <c r="M312" s="10">
        <f t="shared" si="19"/>
        <v>-3</v>
      </c>
    </row>
    <row r="313" spans="1:13">
      <c r="A313" t="s">
        <v>864</v>
      </c>
      <c r="B313" t="s">
        <v>280</v>
      </c>
      <c r="C313" s="2">
        <v>45990</v>
      </c>
      <c r="D313" s="2">
        <v>46002</v>
      </c>
      <c r="E313" t="s">
        <v>558</v>
      </c>
      <c r="F313" t="s">
        <v>545</v>
      </c>
      <c r="G313" t="s">
        <v>561</v>
      </c>
      <c r="H313">
        <v>30</v>
      </c>
      <c r="I313" t="str">
        <f t="shared" si="16"/>
        <v>Monitor</v>
      </c>
      <c r="J313" s="8">
        <f>IF(_xlfn.XLOOKUP(A313,POTracking!$A:$A,POTracking!$D:$D,"")=0,"",_xlfn.XLOOKUP(A313,POTracking!$A:$A,POTracking!$D:$D,""))</f>
        <v>46003</v>
      </c>
      <c r="K313" s="9">
        <f t="shared" si="17"/>
        <v>1</v>
      </c>
      <c r="L313" t="str">
        <f t="shared" si="18"/>
        <v>Late</v>
      </c>
      <c r="M313" s="10">
        <f t="shared" si="19"/>
        <v>13</v>
      </c>
    </row>
    <row r="314" spans="1:13">
      <c r="A314" t="s">
        <v>865</v>
      </c>
      <c r="B314" t="s">
        <v>270</v>
      </c>
      <c r="C314" s="2">
        <v>45885</v>
      </c>
      <c r="D314" s="2">
        <v>45890</v>
      </c>
      <c r="E314" t="s">
        <v>548</v>
      </c>
      <c r="F314" t="s">
        <v>545</v>
      </c>
      <c r="G314" t="s">
        <v>556</v>
      </c>
      <c r="H314">
        <v>60</v>
      </c>
      <c r="I314" t="str">
        <f t="shared" si="16"/>
        <v>Complete</v>
      </c>
      <c r="J314" s="8">
        <f>IF(_xlfn.XLOOKUP(A314,POTracking!$A:$A,POTracking!$D:$D,"")=0,"",_xlfn.XLOOKUP(A314,POTracking!$A:$A,POTracking!$D:$D,""))</f>
        <v>45893</v>
      </c>
      <c r="K314" s="9">
        <f t="shared" si="17"/>
        <v>3</v>
      </c>
      <c r="L314" t="str">
        <f t="shared" si="18"/>
        <v>Late</v>
      </c>
      <c r="M314" s="10">
        <f t="shared" si="19"/>
        <v>8</v>
      </c>
    </row>
    <row r="315" spans="1:13">
      <c r="A315" t="s">
        <v>866</v>
      </c>
      <c r="B315" t="s">
        <v>270</v>
      </c>
      <c r="C315" s="2">
        <v>45953</v>
      </c>
      <c r="D315" s="2">
        <v>45960</v>
      </c>
      <c r="E315" t="s">
        <v>558</v>
      </c>
      <c r="F315" t="s">
        <v>545</v>
      </c>
      <c r="G315" t="s">
        <v>546</v>
      </c>
      <c r="H315">
        <v>60</v>
      </c>
      <c r="I315" t="str">
        <f t="shared" si="16"/>
        <v>Monitor</v>
      </c>
      <c r="J315" s="8">
        <f>IF(_xlfn.XLOOKUP(A315,POTracking!$A:$A,POTracking!$D:$D,"")=0,"",_xlfn.XLOOKUP(A315,POTracking!$A:$A,POTracking!$D:$D,""))</f>
        <v>45957</v>
      </c>
      <c r="K315" s="9">
        <f t="shared" si="17"/>
        <v>-3</v>
      </c>
      <c r="L315" t="str">
        <f t="shared" si="18"/>
        <v>On Time/Early</v>
      </c>
      <c r="M315" s="10">
        <f t="shared" si="19"/>
        <v>4</v>
      </c>
    </row>
    <row r="316" spans="1:13">
      <c r="A316" t="s">
        <v>867</v>
      </c>
      <c r="B316" t="s">
        <v>255</v>
      </c>
      <c r="C316" s="2">
        <v>45821</v>
      </c>
      <c r="D316" s="2">
        <v>45834</v>
      </c>
      <c r="E316" t="s">
        <v>558</v>
      </c>
      <c r="F316" t="s">
        <v>545</v>
      </c>
      <c r="G316" t="s">
        <v>552</v>
      </c>
      <c r="H316">
        <v>45</v>
      </c>
      <c r="I316" t="str">
        <f t="shared" si="16"/>
        <v>Monitor</v>
      </c>
      <c r="J316" s="8">
        <f>IF(_xlfn.XLOOKUP(A316,POTracking!$A:$A,POTracking!$D:$D,"")=0,"",_xlfn.XLOOKUP(A316,POTracking!$A:$A,POTracking!$D:$D,""))</f>
        <v>45837</v>
      </c>
      <c r="K316" s="9">
        <f t="shared" si="17"/>
        <v>3</v>
      </c>
      <c r="L316" t="str">
        <f t="shared" si="18"/>
        <v>Late</v>
      </c>
      <c r="M316" s="10">
        <f t="shared" si="19"/>
        <v>16</v>
      </c>
    </row>
    <row r="317" spans="1:13">
      <c r="A317" t="s">
        <v>868</v>
      </c>
      <c r="B317" t="s">
        <v>268</v>
      </c>
      <c r="C317" s="2">
        <v>45832</v>
      </c>
      <c r="D317" s="2">
        <v>45849</v>
      </c>
      <c r="E317" t="s">
        <v>548</v>
      </c>
      <c r="F317" t="s">
        <v>545</v>
      </c>
      <c r="G317" t="s">
        <v>549</v>
      </c>
      <c r="H317">
        <v>45</v>
      </c>
      <c r="I317" t="str">
        <f t="shared" si="16"/>
        <v>Complete</v>
      </c>
      <c r="J317" s="8">
        <f>IF(_xlfn.XLOOKUP(A317,POTracking!$A:$A,POTracking!$D:$D,"")=0,"",_xlfn.XLOOKUP(A317,POTracking!$A:$A,POTracking!$D:$D,""))</f>
        <v>45858</v>
      </c>
      <c r="K317" s="9">
        <f t="shared" si="17"/>
        <v>9</v>
      </c>
      <c r="L317" t="str">
        <f t="shared" si="18"/>
        <v>Late</v>
      </c>
      <c r="M317" s="10">
        <f t="shared" si="19"/>
        <v>26</v>
      </c>
    </row>
    <row r="318" spans="1:13">
      <c r="A318" t="s">
        <v>869</v>
      </c>
      <c r="B318" t="s">
        <v>286</v>
      </c>
      <c r="C318" s="2">
        <v>45822</v>
      </c>
      <c r="D318" s="2">
        <v>45850</v>
      </c>
      <c r="E318" t="s">
        <v>558</v>
      </c>
      <c r="F318" t="s">
        <v>545</v>
      </c>
      <c r="G318" t="s">
        <v>552</v>
      </c>
      <c r="H318">
        <v>30</v>
      </c>
      <c r="I318" t="str">
        <f t="shared" si="16"/>
        <v>Monitor</v>
      </c>
      <c r="J318" s="8">
        <f>IF(_xlfn.XLOOKUP(A318,POTracking!$A:$A,POTracking!$D:$D,"")=0,"",_xlfn.XLOOKUP(A318,POTracking!$A:$A,POTracking!$D:$D,""))</f>
        <v>45851</v>
      </c>
      <c r="K318" s="9">
        <f t="shared" si="17"/>
        <v>1</v>
      </c>
      <c r="L318" t="str">
        <f t="shared" si="18"/>
        <v>Late</v>
      </c>
      <c r="M318" s="10">
        <f t="shared" si="19"/>
        <v>29</v>
      </c>
    </row>
    <row r="319" spans="1:13">
      <c r="A319" t="s">
        <v>870</v>
      </c>
      <c r="B319" t="s">
        <v>282</v>
      </c>
      <c r="C319" s="2">
        <v>45679</v>
      </c>
      <c r="D319" s="2">
        <v>45702</v>
      </c>
      <c r="E319" t="s">
        <v>558</v>
      </c>
      <c r="F319" t="s">
        <v>545</v>
      </c>
      <c r="G319" t="s">
        <v>546</v>
      </c>
      <c r="H319">
        <v>30</v>
      </c>
      <c r="I319" t="str">
        <f t="shared" si="16"/>
        <v>Monitor</v>
      </c>
      <c r="J319" s="8" t="str">
        <f>IF(_xlfn.XLOOKUP(A319,POTracking!$A:$A,POTracking!$D:$D,"")=0,"",_xlfn.XLOOKUP(A319,POTracking!$A:$A,POTracking!$D:$D,""))</f>
        <v/>
      </c>
      <c r="K319" s="9" t="str">
        <f t="shared" si="17"/>
        <v/>
      </c>
      <c r="L319" t="str">
        <f t="shared" si="18"/>
        <v>Not Yet Received</v>
      </c>
      <c r="M319" s="10" t="str">
        <f t="shared" si="19"/>
        <v/>
      </c>
    </row>
    <row r="320" spans="1:13">
      <c r="A320" t="s">
        <v>871</v>
      </c>
      <c r="B320" t="s">
        <v>284</v>
      </c>
      <c r="C320" s="2">
        <v>45794</v>
      </c>
      <c r="D320" s="2">
        <v>45816</v>
      </c>
      <c r="E320" t="s">
        <v>548</v>
      </c>
      <c r="F320" t="s">
        <v>545</v>
      </c>
      <c r="G320" t="s">
        <v>546</v>
      </c>
      <c r="H320">
        <v>45</v>
      </c>
      <c r="I320" t="str">
        <f t="shared" si="16"/>
        <v>Complete</v>
      </c>
      <c r="J320" s="8">
        <f>IF(_xlfn.XLOOKUP(A320,POTracking!$A:$A,POTracking!$D:$D,"")=0,"",_xlfn.XLOOKUP(A320,POTracking!$A:$A,POTracking!$D:$D,""))</f>
        <v>45818</v>
      </c>
      <c r="K320" s="9">
        <f t="shared" si="17"/>
        <v>2</v>
      </c>
      <c r="L320" t="str">
        <f t="shared" si="18"/>
        <v>Late</v>
      </c>
      <c r="M320" s="10">
        <f t="shared" si="19"/>
        <v>24</v>
      </c>
    </row>
    <row r="321" spans="1:13">
      <c r="A321" t="s">
        <v>872</v>
      </c>
      <c r="B321" t="s">
        <v>255</v>
      </c>
      <c r="C321" s="2">
        <v>45713</v>
      </c>
      <c r="D321" s="2">
        <v>45715</v>
      </c>
      <c r="E321" t="s">
        <v>551</v>
      </c>
      <c r="F321" t="s">
        <v>545</v>
      </c>
      <c r="G321" t="s">
        <v>556</v>
      </c>
      <c r="H321">
        <v>30</v>
      </c>
      <c r="I321" t="str">
        <f t="shared" si="16"/>
        <v>Urgent Follow-Up</v>
      </c>
      <c r="J321" s="8" t="str">
        <f>IF(_xlfn.XLOOKUP(A321,POTracking!$A:$A,POTracking!$D:$D,"")=0,"",_xlfn.XLOOKUP(A321,POTracking!$A:$A,POTracking!$D:$D,""))</f>
        <v/>
      </c>
      <c r="K321" s="9" t="str">
        <f t="shared" si="17"/>
        <v/>
      </c>
      <c r="L321" t="str">
        <f t="shared" si="18"/>
        <v>Not Yet Received</v>
      </c>
      <c r="M321" s="10" t="str">
        <f t="shared" si="19"/>
        <v/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9" sqref="D9"/>
    </sheetView>
  </sheetViews>
  <sheetFormatPr defaultColWidth="8.72727272727273" defaultRowHeight="14.5" outlineLevelRow="5" outlineLevelCol="1"/>
  <sheetData>
    <row r="1" spans="1:2">
      <c r="A1" t="s">
        <v>538</v>
      </c>
      <c r="B1" t="s">
        <v>873</v>
      </c>
    </row>
    <row r="2" spans="1:2">
      <c r="A2" t="s">
        <v>874</v>
      </c>
      <c r="B2">
        <f>COUNTIF(PurchaseOrders!$I:$I,A2)</f>
        <v>35</v>
      </c>
    </row>
    <row r="3" spans="1:2">
      <c r="A3" t="s">
        <v>875</v>
      </c>
      <c r="B3">
        <f>COUNTIF(PurchaseOrders!$I:$I,A3)</f>
        <v>108</v>
      </c>
    </row>
    <row r="4" spans="1:2">
      <c r="A4" t="s">
        <v>876</v>
      </c>
      <c r="B4">
        <f>COUNTIF(PurchaseOrders!$I:$I,A4)</f>
        <v>177</v>
      </c>
    </row>
    <row r="5" spans="1:2">
      <c r="A5" t="s">
        <v>877</v>
      </c>
      <c r="B5">
        <f>COUNTIF(PurchaseOrders!$I:$I,A5)</f>
        <v>0</v>
      </c>
    </row>
    <row r="6" spans="1:2">
      <c r="A6" t="s">
        <v>878</v>
      </c>
      <c r="B6">
        <f>SUM(B2:B5)</f>
        <v>320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1"/>
  <sheetViews>
    <sheetView workbookViewId="0">
      <pane ySplit="1" topLeftCell="A2" activePane="bottomLeft" state="frozen"/>
      <selection/>
      <selection pane="bottomLeft" activeCell="I2" sqref="I2"/>
    </sheetView>
  </sheetViews>
  <sheetFormatPr defaultColWidth="9" defaultRowHeight="14.5"/>
  <cols>
    <col min="1" max="3" width="12" customWidth="1"/>
    <col min="4" max="6" width="14" customWidth="1"/>
    <col min="7" max="7" width="15" customWidth="1"/>
    <col min="9" max="9" width="10.5454545454545"/>
  </cols>
  <sheetData>
    <row r="1" ht="30" customHeight="1" spans="1:8">
      <c r="A1" s="1" t="s">
        <v>34</v>
      </c>
      <c r="B1" s="1" t="s">
        <v>31</v>
      </c>
      <c r="C1" s="1" t="s">
        <v>22</v>
      </c>
      <c r="D1" s="1" t="s">
        <v>879</v>
      </c>
      <c r="E1" s="1" t="s">
        <v>880</v>
      </c>
      <c r="F1" s="1" t="s">
        <v>881</v>
      </c>
      <c r="G1" s="1" t="s">
        <v>882</v>
      </c>
      <c r="H1" t="s">
        <v>25</v>
      </c>
    </row>
    <row r="2" spans="1:9">
      <c r="A2" t="s">
        <v>883</v>
      </c>
      <c r="B2" t="s">
        <v>543</v>
      </c>
      <c r="C2" t="s">
        <v>118</v>
      </c>
      <c r="D2">
        <v>500</v>
      </c>
      <c r="E2">
        <v>59.35</v>
      </c>
      <c r="F2">
        <v>29675</v>
      </c>
      <c r="G2">
        <v>0</v>
      </c>
      <c r="H2" t="str">
        <f>_xlfn.XLOOKUP(B2,PurchaseOrders!$A:$A,PurchaseOrders!$B:$B,"Not Found")</f>
        <v>S011</v>
      </c>
      <c r="I2" s="7">
        <f>SUM(F2:F321)</f>
        <v>3282463.2</v>
      </c>
    </row>
    <row r="3" spans="1:8">
      <c r="A3" t="s">
        <v>884</v>
      </c>
      <c r="B3" t="s">
        <v>547</v>
      </c>
      <c r="C3" t="s">
        <v>142</v>
      </c>
      <c r="D3">
        <v>500</v>
      </c>
      <c r="E3">
        <v>47.39</v>
      </c>
      <c r="F3">
        <v>23695</v>
      </c>
      <c r="G3">
        <v>500</v>
      </c>
      <c r="H3" t="str">
        <f>_xlfn.XLOOKUP(B3,PurchaseOrders!$A:$A,PurchaseOrders!$B:$B,"Not Found")</f>
        <v>S012</v>
      </c>
    </row>
    <row r="4" spans="1:8">
      <c r="A4" t="s">
        <v>885</v>
      </c>
      <c r="B4" t="s">
        <v>550</v>
      </c>
      <c r="C4" t="s">
        <v>74</v>
      </c>
      <c r="D4">
        <v>50</v>
      </c>
      <c r="E4">
        <v>27.46</v>
      </c>
      <c r="F4">
        <v>1373</v>
      </c>
      <c r="G4">
        <v>0</v>
      </c>
      <c r="H4" t="str">
        <f>_xlfn.XLOOKUP(B4,PurchaseOrders!$A:$A,PurchaseOrders!$B:$B,"Not Found")</f>
        <v>S009</v>
      </c>
    </row>
    <row r="5" spans="1:8">
      <c r="A5" t="s">
        <v>886</v>
      </c>
      <c r="B5" t="s">
        <v>553</v>
      </c>
      <c r="C5" t="s">
        <v>214</v>
      </c>
      <c r="D5">
        <v>100</v>
      </c>
      <c r="E5">
        <v>57.15</v>
      </c>
      <c r="F5">
        <v>5715</v>
      </c>
      <c r="G5">
        <v>100</v>
      </c>
      <c r="H5" t="str">
        <f>_xlfn.XLOOKUP(B5,PurchaseOrders!$A:$A,PurchaseOrders!$B:$B,"Not Found")</f>
        <v>S010</v>
      </c>
    </row>
    <row r="6" spans="1:8">
      <c r="A6" t="s">
        <v>887</v>
      </c>
      <c r="B6" t="s">
        <v>554</v>
      </c>
      <c r="C6" t="s">
        <v>98</v>
      </c>
      <c r="D6">
        <v>200</v>
      </c>
      <c r="E6">
        <v>40.64</v>
      </c>
      <c r="F6">
        <v>8128</v>
      </c>
      <c r="G6">
        <v>200</v>
      </c>
      <c r="H6" t="str">
        <f>_xlfn.XLOOKUP(B6,PurchaseOrders!$A:$A,PurchaseOrders!$B:$B,"Not Found")</f>
        <v>S011</v>
      </c>
    </row>
    <row r="7" spans="1:8">
      <c r="A7" t="s">
        <v>888</v>
      </c>
      <c r="B7" t="s">
        <v>555</v>
      </c>
      <c r="C7" t="s">
        <v>200</v>
      </c>
      <c r="D7">
        <v>200</v>
      </c>
      <c r="E7">
        <v>26.43</v>
      </c>
      <c r="F7">
        <v>5286</v>
      </c>
      <c r="G7">
        <v>200</v>
      </c>
      <c r="H7" t="str">
        <f>_xlfn.XLOOKUP(B7,PurchaseOrders!$A:$A,PurchaseOrders!$B:$B,"Not Found")</f>
        <v>S016</v>
      </c>
    </row>
    <row r="8" spans="1:8">
      <c r="A8" t="s">
        <v>889</v>
      </c>
      <c r="B8" t="s">
        <v>557</v>
      </c>
      <c r="C8" t="s">
        <v>114</v>
      </c>
      <c r="D8">
        <v>20</v>
      </c>
      <c r="E8">
        <v>7.19</v>
      </c>
      <c r="F8">
        <v>143.8</v>
      </c>
      <c r="G8">
        <v>6</v>
      </c>
      <c r="H8" t="str">
        <f>_xlfn.XLOOKUP(B8,PurchaseOrders!$A:$A,PurchaseOrders!$B:$B,"Not Found")</f>
        <v>S018</v>
      </c>
    </row>
    <row r="9" spans="1:8">
      <c r="A9" t="s">
        <v>890</v>
      </c>
      <c r="B9" t="s">
        <v>559</v>
      </c>
      <c r="C9" t="s">
        <v>190</v>
      </c>
      <c r="D9">
        <v>50</v>
      </c>
      <c r="E9">
        <v>35.28</v>
      </c>
      <c r="F9">
        <v>1764</v>
      </c>
      <c r="G9">
        <v>22</v>
      </c>
      <c r="H9" t="str">
        <f>_xlfn.XLOOKUP(B9,PurchaseOrders!$A:$A,PurchaseOrders!$B:$B,"Not Found")</f>
        <v>S001</v>
      </c>
    </row>
    <row r="10" spans="1:8">
      <c r="A10" t="s">
        <v>891</v>
      </c>
      <c r="B10" t="s">
        <v>560</v>
      </c>
      <c r="C10" t="s">
        <v>71</v>
      </c>
      <c r="D10">
        <v>200</v>
      </c>
      <c r="E10">
        <v>84.63</v>
      </c>
      <c r="F10">
        <v>16926</v>
      </c>
      <c r="G10">
        <v>200</v>
      </c>
      <c r="H10" t="str">
        <f>_xlfn.XLOOKUP(B10,PurchaseOrders!$A:$A,PurchaseOrders!$B:$B,"Not Found")</f>
        <v>S016</v>
      </c>
    </row>
    <row r="11" spans="1:8">
      <c r="A11" t="s">
        <v>892</v>
      </c>
      <c r="B11" t="s">
        <v>562</v>
      </c>
      <c r="C11" t="s">
        <v>88</v>
      </c>
      <c r="D11">
        <v>150</v>
      </c>
      <c r="E11">
        <v>74.98</v>
      </c>
      <c r="F11">
        <v>11247</v>
      </c>
      <c r="G11">
        <v>150</v>
      </c>
      <c r="H11" t="str">
        <f>_xlfn.XLOOKUP(B11,PurchaseOrders!$A:$A,PurchaseOrders!$B:$B,"Not Found")</f>
        <v>S008</v>
      </c>
    </row>
    <row r="12" spans="1:8">
      <c r="A12" t="s">
        <v>893</v>
      </c>
      <c r="B12" t="s">
        <v>563</v>
      </c>
      <c r="C12" t="s">
        <v>144</v>
      </c>
      <c r="D12">
        <v>100</v>
      </c>
      <c r="E12">
        <v>60.89</v>
      </c>
      <c r="F12">
        <v>6089</v>
      </c>
      <c r="G12">
        <v>29</v>
      </c>
      <c r="H12" t="str">
        <f>_xlfn.XLOOKUP(B12,PurchaseOrders!$A:$A,PurchaseOrders!$B:$B,"Not Found")</f>
        <v>S015</v>
      </c>
    </row>
    <row r="13" spans="1:8">
      <c r="A13" t="s">
        <v>894</v>
      </c>
      <c r="B13" t="s">
        <v>564</v>
      </c>
      <c r="C13" t="s">
        <v>186</v>
      </c>
      <c r="D13">
        <v>20</v>
      </c>
      <c r="E13">
        <v>32.45</v>
      </c>
      <c r="F13">
        <v>649</v>
      </c>
      <c r="G13">
        <v>20</v>
      </c>
      <c r="H13" t="str">
        <f>_xlfn.XLOOKUP(B13,PurchaseOrders!$A:$A,PurchaseOrders!$B:$B,"Not Found")</f>
        <v>S017</v>
      </c>
    </row>
    <row r="14" spans="1:8">
      <c r="A14" t="s">
        <v>895</v>
      </c>
      <c r="B14" t="s">
        <v>565</v>
      </c>
      <c r="C14" t="s">
        <v>186</v>
      </c>
      <c r="D14">
        <v>20</v>
      </c>
      <c r="E14">
        <v>32.45</v>
      </c>
      <c r="F14">
        <v>649</v>
      </c>
      <c r="G14">
        <v>0</v>
      </c>
      <c r="H14" t="str">
        <f>_xlfn.XLOOKUP(B14,PurchaseOrders!$A:$A,PurchaseOrders!$B:$B,"Not Found")</f>
        <v>S017</v>
      </c>
    </row>
    <row r="15" spans="1:8">
      <c r="A15" t="s">
        <v>896</v>
      </c>
      <c r="B15" t="s">
        <v>566</v>
      </c>
      <c r="C15" t="s">
        <v>212</v>
      </c>
      <c r="D15">
        <v>50</v>
      </c>
      <c r="E15">
        <v>52.94</v>
      </c>
      <c r="F15">
        <v>2647</v>
      </c>
      <c r="G15">
        <v>0</v>
      </c>
      <c r="H15" t="str">
        <f>_xlfn.XLOOKUP(B15,PurchaseOrders!$A:$A,PurchaseOrders!$B:$B,"Not Found")</f>
        <v>S010</v>
      </c>
    </row>
    <row r="16" spans="1:8">
      <c r="A16" t="s">
        <v>897</v>
      </c>
      <c r="B16" t="s">
        <v>567</v>
      </c>
      <c r="C16" t="s">
        <v>132</v>
      </c>
      <c r="D16">
        <v>500</v>
      </c>
      <c r="E16">
        <v>44.38</v>
      </c>
      <c r="F16">
        <v>22190</v>
      </c>
      <c r="G16">
        <v>500</v>
      </c>
      <c r="H16" t="str">
        <f>_xlfn.XLOOKUP(B16,PurchaseOrders!$A:$A,PurchaseOrders!$B:$B,"Not Found")</f>
        <v>S020</v>
      </c>
    </row>
    <row r="17" spans="1:8">
      <c r="A17" t="s">
        <v>898</v>
      </c>
      <c r="B17" t="s">
        <v>568</v>
      </c>
      <c r="C17" t="s">
        <v>178</v>
      </c>
      <c r="D17">
        <v>50</v>
      </c>
      <c r="E17">
        <v>48.38</v>
      </c>
      <c r="F17">
        <v>2419</v>
      </c>
      <c r="G17">
        <v>0</v>
      </c>
      <c r="H17" t="str">
        <f>_xlfn.XLOOKUP(B17,PurchaseOrders!$A:$A,PurchaseOrders!$B:$B,"Not Found")</f>
        <v>S004</v>
      </c>
    </row>
    <row r="18" spans="1:8">
      <c r="A18" t="s">
        <v>899</v>
      </c>
      <c r="B18" t="s">
        <v>569</v>
      </c>
      <c r="C18" t="s">
        <v>210</v>
      </c>
      <c r="D18">
        <v>100</v>
      </c>
      <c r="E18">
        <v>91.87</v>
      </c>
      <c r="F18">
        <v>9187</v>
      </c>
      <c r="G18">
        <v>100</v>
      </c>
      <c r="H18" t="str">
        <f>_xlfn.XLOOKUP(B18,PurchaseOrders!$A:$A,PurchaseOrders!$B:$B,"Not Found")</f>
        <v>S012</v>
      </c>
    </row>
    <row r="19" spans="1:8">
      <c r="A19" t="s">
        <v>900</v>
      </c>
      <c r="B19" t="s">
        <v>570</v>
      </c>
      <c r="C19" t="s">
        <v>218</v>
      </c>
      <c r="D19">
        <v>20</v>
      </c>
      <c r="E19">
        <v>52.2</v>
      </c>
      <c r="F19">
        <v>1044</v>
      </c>
      <c r="G19">
        <v>12</v>
      </c>
      <c r="H19" t="str">
        <f>_xlfn.XLOOKUP(B19,PurchaseOrders!$A:$A,PurchaseOrders!$B:$B,"Not Found")</f>
        <v>S003</v>
      </c>
    </row>
    <row r="20" spans="1:8">
      <c r="A20" t="s">
        <v>901</v>
      </c>
      <c r="B20" t="s">
        <v>571</v>
      </c>
      <c r="C20" t="s">
        <v>160</v>
      </c>
      <c r="D20">
        <v>150</v>
      </c>
      <c r="E20">
        <v>84.29</v>
      </c>
      <c r="F20">
        <v>12643.5</v>
      </c>
      <c r="G20">
        <v>33</v>
      </c>
      <c r="H20" t="str">
        <f>_xlfn.XLOOKUP(B20,PurchaseOrders!$A:$A,PurchaseOrders!$B:$B,"Not Found")</f>
        <v>S020</v>
      </c>
    </row>
    <row r="21" spans="1:8">
      <c r="A21" t="s">
        <v>902</v>
      </c>
      <c r="B21" t="s">
        <v>572</v>
      </c>
      <c r="C21" t="s">
        <v>192</v>
      </c>
      <c r="D21">
        <v>500</v>
      </c>
      <c r="E21">
        <v>50.62</v>
      </c>
      <c r="F21">
        <v>25310</v>
      </c>
      <c r="G21">
        <v>500</v>
      </c>
      <c r="H21" t="str">
        <f>_xlfn.XLOOKUP(B21,PurchaseOrders!$A:$A,PurchaseOrders!$B:$B,"Not Found")</f>
        <v>S012</v>
      </c>
    </row>
    <row r="22" spans="1:8">
      <c r="A22" t="s">
        <v>903</v>
      </c>
      <c r="B22" t="s">
        <v>573</v>
      </c>
      <c r="C22" t="s">
        <v>134</v>
      </c>
      <c r="D22">
        <v>100</v>
      </c>
      <c r="E22">
        <v>40.22</v>
      </c>
      <c r="F22">
        <v>4022</v>
      </c>
      <c r="G22">
        <v>100</v>
      </c>
      <c r="H22" t="str">
        <f>_xlfn.XLOOKUP(B22,PurchaseOrders!$A:$A,PurchaseOrders!$B:$B,"Not Found")</f>
        <v>S010</v>
      </c>
    </row>
    <row r="23" spans="1:8">
      <c r="A23" t="s">
        <v>904</v>
      </c>
      <c r="B23" t="s">
        <v>574</v>
      </c>
      <c r="C23" t="s">
        <v>116</v>
      </c>
      <c r="D23">
        <v>200</v>
      </c>
      <c r="E23">
        <v>22.48</v>
      </c>
      <c r="F23">
        <v>4496</v>
      </c>
      <c r="G23">
        <v>73</v>
      </c>
      <c r="H23" t="str">
        <f>_xlfn.XLOOKUP(B23,PurchaseOrders!$A:$A,PurchaseOrders!$B:$B,"Not Found")</f>
        <v>S001</v>
      </c>
    </row>
    <row r="24" spans="1:8">
      <c r="A24" t="s">
        <v>905</v>
      </c>
      <c r="B24" t="s">
        <v>575</v>
      </c>
      <c r="C24" t="s">
        <v>80</v>
      </c>
      <c r="D24">
        <v>20</v>
      </c>
      <c r="E24">
        <v>60.25</v>
      </c>
      <c r="F24">
        <v>1205</v>
      </c>
      <c r="G24">
        <v>20</v>
      </c>
      <c r="H24" t="str">
        <f>_xlfn.XLOOKUP(B24,PurchaseOrders!$A:$A,PurchaseOrders!$B:$B,"Not Found")</f>
        <v>S008</v>
      </c>
    </row>
    <row r="25" spans="1:8">
      <c r="A25" t="s">
        <v>906</v>
      </c>
      <c r="B25" t="s">
        <v>576</v>
      </c>
      <c r="C25" t="s">
        <v>226</v>
      </c>
      <c r="D25">
        <v>150</v>
      </c>
      <c r="E25">
        <v>35.84</v>
      </c>
      <c r="F25">
        <v>5376</v>
      </c>
      <c r="G25">
        <v>150</v>
      </c>
      <c r="H25" t="str">
        <f>_xlfn.XLOOKUP(B25,PurchaseOrders!$A:$A,PurchaseOrders!$B:$B,"Not Found")</f>
        <v>S013</v>
      </c>
    </row>
    <row r="26" spans="1:8">
      <c r="A26" t="s">
        <v>907</v>
      </c>
      <c r="B26" t="s">
        <v>577</v>
      </c>
      <c r="C26" t="s">
        <v>146</v>
      </c>
      <c r="D26">
        <v>20</v>
      </c>
      <c r="E26">
        <v>25.21</v>
      </c>
      <c r="F26">
        <v>504.2</v>
      </c>
      <c r="G26">
        <v>20</v>
      </c>
      <c r="H26" t="str">
        <f>_xlfn.XLOOKUP(B26,PurchaseOrders!$A:$A,PurchaseOrders!$B:$B,"Not Found")</f>
        <v>S017</v>
      </c>
    </row>
    <row r="27" spans="1:8">
      <c r="A27" t="s">
        <v>908</v>
      </c>
      <c r="B27" t="s">
        <v>578</v>
      </c>
      <c r="C27" t="s">
        <v>80</v>
      </c>
      <c r="D27">
        <v>500</v>
      </c>
      <c r="E27">
        <v>48.16</v>
      </c>
      <c r="F27">
        <v>24080</v>
      </c>
      <c r="G27">
        <v>259</v>
      </c>
      <c r="H27" t="str">
        <f>_xlfn.XLOOKUP(B27,PurchaseOrders!$A:$A,PurchaseOrders!$B:$B,"Not Found")</f>
        <v>S004</v>
      </c>
    </row>
    <row r="28" spans="1:8">
      <c r="A28" t="s">
        <v>909</v>
      </c>
      <c r="B28" t="s">
        <v>579</v>
      </c>
      <c r="C28" t="s">
        <v>222</v>
      </c>
      <c r="D28">
        <v>300</v>
      </c>
      <c r="E28">
        <v>88.6</v>
      </c>
      <c r="F28">
        <v>26580</v>
      </c>
      <c r="G28">
        <v>300</v>
      </c>
      <c r="H28" t="str">
        <f>_xlfn.XLOOKUP(B28,PurchaseOrders!$A:$A,PurchaseOrders!$B:$B,"Not Found")</f>
        <v>S012</v>
      </c>
    </row>
    <row r="29" spans="1:8">
      <c r="A29" t="s">
        <v>910</v>
      </c>
      <c r="B29" t="s">
        <v>580</v>
      </c>
      <c r="C29" t="s">
        <v>166</v>
      </c>
      <c r="D29">
        <v>100</v>
      </c>
      <c r="E29">
        <v>37.77</v>
      </c>
      <c r="F29">
        <v>3777</v>
      </c>
      <c r="G29">
        <v>100</v>
      </c>
      <c r="H29" t="str">
        <f>_xlfn.XLOOKUP(B29,PurchaseOrders!$A:$A,PurchaseOrders!$B:$B,"Not Found")</f>
        <v>S002</v>
      </c>
    </row>
    <row r="30" spans="1:8">
      <c r="A30" t="s">
        <v>911</v>
      </c>
      <c r="B30" t="s">
        <v>581</v>
      </c>
      <c r="C30" t="s">
        <v>71</v>
      </c>
      <c r="D30">
        <v>150</v>
      </c>
      <c r="E30">
        <v>84.63</v>
      </c>
      <c r="F30">
        <v>12694.5</v>
      </c>
      <c r="G30">
        <v>150</v>
      </c>
      <c r="H30" t="str">
        <f>_xlfn.XLOOKUP(B30,PurchaseOrders!$A:$A,PurchaseOrders!$B:$B,"Not Found")</f>
        <v>S016</v>
      </c>
    </row>
    <row r="31" spans="1:8">
      <c r="A31" t="s">
        <v>912</v>
      </c>
      <c r="B31" t="s">
        <v>582</v>
      </c>
      <c r="C31" t="s">
        <v>112</v>
      </c>
      <c r="D31">
        <v>20</v>
      </c>
      <c r="E31">
        <v>65.09</v>
      </c>
      <c r="F31">
        <v>1301.8</v>
      </c>
      <c r="G31">
        <v>20</v>
      </c>
      <c r="H31" t="str">
        <f>_xlfn.XLOOKUP(B31,PurchaseOrders!$A:$A,PurchaseOrders!$B:$B,"Not Found")</f>
        <v>S020</v>
      </c>
    </row>
    <row r="32" spans="1:8">
      <c r="A32" t="s">
        <v>913</v>
      </c>
      <c r="B32" t="s">
        <v>583</v>
      </c>
      <c r="C32" t="s">
        <v>176</v>
      </c>
      <c r="D32">
        <v>150</v>
      </c>
      <c r="E32">
        <v>31.84</v>
      </c>
      <c r="F32">
        <v>4776</v>
      </c>
      <c r="G32">
        <v>0</v>
      </c>
      <c r="H32" t="str">
        <f>_xlfn.XLOOKUP(B32,PurchaseOrders!$A:$A,PurchaseOrders!$B:$B,"Not Found")</f>
        <v>S013</v>
      </c>
    </row>
    <row r="33" spans="1:8">
      <c r="A33" t="s">
        <v>914</v>
      </c>
      <c r="B33" t="s">
        <v>584</v>
      </c>
      <c r="C33" t="s">
        <v>116</v>
      </c>
      <c r="D33">
        <v>100</v>
      </c>
      <c r="E33">
        <v>22.48</v>
      </c>
      <c r="F33">
        <v>2248</v>
      </c>
      <c r="G33">
        <v>53</v>
      </c>
      <c r="H33" t="str">
        <f>_xlfn.XLOOKUP(B33,PurchaseOrders!$A:$A,PurchaseOrders!$B:$B,"Not Found")</f>
        <v>S001</v>
      </c>
    </row>
    <row r="34" spans="1:8">
      <c r="A34" t="s">
        <v>915</v>
      </c>
      <c r="B34" t="s">
        <v>585</v>
      </c>
      <c r="C34" t="s">
        <v>180</v>
      </c>
      <c r="D34">
        <v>50</v>
      </c>
      <c r="E34">
        <v>104.35</v>
      </c>
      <c r="F34">
        <v>5217.5</v>
      </c>
      <c r="G34">
        <v>50</v>
      </c>
      <c r="H34" t="str">
        <f>_xlfn.XLOOKUP(B34,PurchaseOrders!$A:$A,PurchaseOrders!$B:$B,"Not Found")</f>
        <v>S012</v>
      </c>
    </row>
    <row r="35" spans="1:8">
      <c r="A35" t="s">
        <v>916</v>
      </c>
      <c r="B35" t="s">
        <v>586</v>
      </c>
      <c r="C35" t="s">
        <v>158</v>
      </c>
      <c r="D35">
        <v>500</v>
      </c>
      <c r="E35">
        <v>74.82</v>
      </c>
      <c r="F35">
        <v>37410</v>
      </c>
      <c r="G35">
        <v>500</v>
      </c>
      <c r="H35" t="str">
        <f>_xlfn.XLOOKUP(B35,PurchaseOrders!$A:$A,PurchaseOrders!$B:$B,"Not Found")</f>
        <v>S017</v>
      </c>
    </row>
    <row r="36" spans="1:8">
      <c r="A36" t="s">
        <v>917</v>
      </c>
      <c r="B36" t="s">
        <v>587</v>
      </c>
      <c r="C36" t="s">
        <v>138</v>
      </c>
      <c r="D36">
        <v>50</v>
      </c>
      <c r="E36">
        <v>58.8</v>
      </c>
      <c r="F36">
        <v>2940</v>
      </c>
      <c r="G36">
        <v>50</v>
      </c>
      <c r="H36" t="str">
        <f>_xlfn.XLOOKUP(B36,PurchaseOrders!$A:$A,PurchaseOrders!$B:$B,"Not Found")</f>
        <v>S017</v>
      </c>
    </row>
    <row r="37" spans="1:8">
      <c r="A37" t="s">
        <v>918</v>
      </c>
      <c r="B37" t="s">
        <v>588</v>
      </c>
      <c r="C37" t="s">
        <v>222</v>
      </c>
      <c r="D37">
        <v>50</v>
      </c>
      <c r="E37">
        <v>92.14</v>
      </c>
      <c r="F37">
        <v>4607</v>
      </c>
      <c r="G37">
        <v>50</v>
      </c>
      <c r="H37" t="str">
        <f>_xlfn.XLOOKUP(B37,PurchaseOrders!$A:$A,PurchaseOrders!$B:$B,"Not Found")</f>
        <v>S015</v>
      </c>
    </row>
    <row r="38" spans="1:8">
      <c r="A38" t="s">
        <v>919</v>
      </c>
      <c r="B38" t="s">
        <v>589</v>
      </c>
      <c r="C38" t="s">
        <v>77</v>
      </c>
      <c r="D38">
        <v>300</v>
      </c>
      <c r="E38">
        <v>35.26</v>
      </c>
      <c r="F38">
        <v>10578</v>
      </c>
      <c r="G38">
        <v>84</v>
      </c>
      <c r="H38" t="str">
        <f>_xlfn.XLOOKUP(B38,PurchaseOrders!$A:$A,PurchaseOrders!$B:$B,"Not Found")</f>
        <v>S002</v>
      </c>
    </row>
    <row r="39" spans="1:8">
      <c r="A39" t="s">
        <v>920</v>
      </c>
      <c r="B39" t="s">
        <v>590</v>
      </c>
      <c r="C39" t="s">
        <v>120</v>
      </c>
      <c r="D39">
        <v>20</v>
      </c>
      <c r="E39">
        <v>49.7</v>
      </c>
      <c r="F39">
        <v>994</v>
      </c>
      <c r="G39">
        <v>20</v>
      </c>
      <c r="H39" t="str">
        <f>_xlfn.XLOOKUP(B39,PurchaseOrders!$A:$A,PurchaseOrders!$B:$B,"Not Found")</f>
        <v>S019</v>
      </c>
    </row>
    <row r="40" spans="1:8">
      <c r="A40" t="s">
        <v>921</v>
      </c>
      <c r="B40" t="s">
        <v>591</v>
      </c>
      <c r="C40" t="s">
        <v>204</v>
      </c>
      <c r="D40">
        <v>200</v>
      </c>
      <c r="E40">
        <v>5.59</v>
      </c>
      <c r="F40">
        <v>1118</v>
      </c>
      <c r="G40">
        <v>200</v>
      </c>
      <c r="H40" t="str">
        <f>_xlfn.XLOOKUP(B40,PurchaseOrders!$A:$A,PurchaseOrders!$B:$B,"Not Found")</f>
        <v>S016</v>
      </c>
    </row>
    <row r="41" spans="1:8">
      <c r="A41" t="s">
        <v>922</v>
      </c>
      <c r="B41" t="s">
        <v>592</v>
      </c>
      <c r="C41" t="s">
        <v>136</v>
      </c>
      <c r="D41">
        <v>300</v>
      </c>
      <c r="E41">
        <v>34.3</v>
      </c>
      <c r="F41">
        <v>10290</v>
      </c>
      <c r="G41">
        <v>300</v>
      </c>
      <c r="H41" t="str">
        <f>_xlfn.XLOOKUP(B41,PurchaseOrders!$A:$A,PurchaseOrders!$B:$B,"Not Found")</f>
        <v>S020</v>
      </c>
    </row>
    <row r="42" spans="1:8">
      <c r="A42" t="s">
        <v>923</v>
      </c>
      <c r="B42" t="s">
        <v>593</v>
      </c>
      <c r="C42" t="s">
        <v>224</v>
      </c>
      <c r="D42">
        <v>100</v>
      </c>
      <c r="E42">
        <v>107.13</v>
      </c>
      <c r="F42">
        <v>10713</v>
      </c>
      <c r="G42">
        <v>39</v>
      </c>
      <c r="H42" t="str">
        <f>_xlfn.XLOOKUP(B42,PurchaseOrders!$A:$A,PurchaseOrders!$B:$B,"Not Found")</f>
        <v>S016</v>
      </c>
    </row>
    <row r="43" spans="1:8">
      <c r="A43" t="s">
        <v>924</v>
      </c>
      <c r="B43" t="s">
        <v>594</v>
      </c>
      <c r="C43" t="s">
        <v>190</v>
      </c>
      <c r="D43">
        <v>100</v>
      </c>
      <c r="E43">
        <v>28.45</v>
      </c>
      <c r="F43">
        <v>2845</v>
      </c>
      <c r="G43">
        <v>0</v>
      </c>
      <c r="H43" t="str">
        <f>_xlfn.XLOOKUP(B43,PurchaseOrders!$A:$A,PurchaseOrders!$B:$B,"Not Found")</f>
        <v>S002</v>
      </c>
    </row>
    <row r="44" spans="1:8">
      <c r="A44" t="s">
        <v>925</v>
      </c>
      <c r="B44" t="s">
        <v>595</v>
      </c>
      <c r="C44" t="s">
        <v>190</v>
      </c>
      <c r="D44">
        <v>200</v>
      </c>
      <c r="E44">
        <v>34.92</v>
      </c>
      <c r="F44">
        <v>6984</v>
      </c>
      <c r="G44">
        <v>0</v>
      </c>
      <c r="H44" t="str">
        <f>_xlfn.XLOOKUP(B44,PurchaseOrders!$A:$A,PurchaseOrders!$B:$B,"Not Found")</f>
        <v>S011</v>
      </c>
    </row>
    <row r="45" spans="1:8">
      <c r="A45" t="s">
        <v>926</v>
      </c>
      <c r="B45" t="s">
        <v>596</v>
      </c>
      <c r="C45" t="s">
        <v>65</v>
      </c>
      <c r="D45">
        <v>50</v>
      </c>
      <c r="E45">
        <v>45.1</v>
      </c>
      <c r="F45">
        <v>2255</v>
      </c>
      <c r="G45">
        <v>50</v>
      </c>
      <c r="H45" t="str">
        <f>_xlfn.XLOOKUP(B45,PurchaseOrders!$A:$A,PurchaseOrders!$B:$B,"Not Found")</f>
        <v>S002</v>
      </c>
    </row>
    <row r="46" spans="1:8">
      <c r="A46" t="s">
        <v>927</v>
      </c>
      <c r="B46" t="s">
        <v>597</v>
      </c>
      <c r="C46" t="s">
        <v>226</v>
      </c>
      <c r="D46">
        <v>200</v>
      </c>
      <c r="E46">
        <v>35.84</v>
      </c>
      <c r="F46">
        <v>7168</v>
      </c>
      <c r="G46">
        <v>200</v>
      </c>
      <c r="H46" t="str">
        <f>_xlfn.XLOOKUP(B46,PurchaseOrders!$A:$A,PurchaseOrders!$B:$B,"Not Found")</f>
        <v>S013</v>
      </c>
    </row>
    <row r="47" spans="1:8">
      <c r="A47" t="s">
        <v>928</v>
      </c>
      <c r="B47" t="s">
        <v>598</v>
      </c>
      <c r="C47" t="s">
        <v>170</v>
      </c>
      <c r="D47">
        <v>500</v>
      </c>
      <c r="E47">
        <v>3.8</v>
      </c>
      <c r="F47">
        <v>1900</v>
      </c>
      <c r="G47">
        <v>0</v>
      </c>
      <c r="H47" t="str">
        <f>_xlfn.XLOOKUP(B47,PurchaseOrders!$A:$A,PurchaseOrders!$B:$B,"Not Found")</f>
        <v>S018</v>
      </c>
    </row>
    <row r="48" spans="1:8">
      <c r="A48" t="s">
        <v>929</v>
      </c>
      <c r="B48" t="s">
        <v>599</v>
      </c>
      <c r="C48" t="s">
        <v>212</v>
      </c>
      <c r="D48">
        <v>20</v>
      </c>
      <c r="E48">
        <v>52.94</v>
      </c>
      <c r="F48">
        <v>1058.8</v>
      </c>
      <c r="G48">
        <v>0</v>
      </c>
      <c r="H48" t="str">
        <f>_xlfn.XLOOKUP(B48,PurchaseOrders!$A:$A,PurchaseOrders!$B:$B,"Not Found")</f>
        <v>S010</v>
      </c>
    </row>
    <row r="49" spans="1:8">
      <c r="A49" t="s">
        <v>930</v>
      </c>
      <c r="B49" t="s">
        <v>600</v>
      </c>
      <c r="C49" t="s">
        <v>222</v>
      </c>
      <c r="D49">
        <v>300</v>
      </c>
      <c r="E49">
        <v>92.14</v>
      </c>
      <c r="F49">
        <v>27642</v>
      </c>
      <c r="G49">
        <v>113</v>
      </c>
      <c r="H49" t="str">
        <f>_xlfn.XLOOKUP(B49,PurchaseOrders!$A:$A,PurchaseOrders!$B:$B,"Not Found")</f>
        <v>S015</v>
      </c>
    </row>
    <row r="50" spans="1:8">
      <c r="A50" t="s">
        <v>931</v>
      </c>
      <c r="B50" t="s">
        <v>601</v>
      </c>
      <c r="C50" t="s">
        <v>124</v>
      </c>
      <c r="D50">
        <v>20</v>
      </c>
      <c r="E50">
        <v>79.81</v>
      </c>
      <c r="F50">
        <v>1596.2</v>
      </c>
      <c r="G50">
        <v>20</v>
      </c>
      <c r="H50" t="str">
        <f>_xlfn.XLOOKUP(B50,PurchaseOrders!$A:$A,PurchaseOrders!$B:$B,"Not Found")</f>
        <v>S013</v>
      </c>
    </row>
    <row r="51" spans="1:8">
      <c r="A51" t="s">
        <v>932</v>
      </c>
      <c r="B51" t="s">
        <v>602</v>
      </c>
      <c r="C51" t="s">
        <v>148</v>
      </c>
      <c r="D51">
        <v>200</v>
      </c>
      <c r="E51">
        <v>60.52</v>
      </c>
      <c r="F51">
        <v>12104</v>
      </c>
      <c r="G51">
        <v>200</v>
      </c>
      <c r="H51" t="str">
        <f>_xlfn.XLOOKUP(B51,PurchaseOrders!$A:$A,PurchaseOrders!$B:$B,"Not Found")</f>
        <v>S002</v>
      </c>
    </row>
    <row r="52" spans="1:8">
      <c r="A52" t="s">
        <v>933</v>
      </c>
      <c r="B52" t="s">
        <v>603</v>
      </c>
      <c r="C52" t="s">
        <v>172</v>
      </c>
      <c r="D52">
        <v>500</v>
      </c>
      <c r="E52">
        <v>3.13</v>
      </c>
      <c r="F52">
        <v>1565</v>
      </c>
      <c r="G52">
        <v>350</v>
      </c>
      <c r="H52" t="str">
        <f>_xlfn.XLOOKUP(B52,PurchaseOrders!$A:$A,PurchaseOrders!$B:$B,"Not Found")</f>
        <v>S004</v>
      </c>
    </row>
    <row r="53" spans="1:8">
      <c r="A53" t="s">
        <v>934</v>
      </c>
      <c r="B53" t="s">
        <v>604</v>
      </c>
      <c r="C53" t="s">
        <v>160</v>
      </c>
      <c r="D53">
        <v>200</v>
      </c>
      <c r="E53">
        <v>90.49</v>
      </c>
      <c r="F53">
        <v>18098</v>
      </c>
      <c r="G53">
        <v>159</v>
      </c>
      <c r="H53" t="str">
        <f>_xlfn.XLOOKUP(B53,PurchaseOrders!$A:$A,PurchaseOrders!$B:$B,"Not Found")</f>
        <v>S006</v>
      </c>
    </row>
    <row r="54" spans="1:8">
      <c r="A54" t="s">
        <v>935</v>
      </c>
      <c r="B54" t="s">
        <v>605</v>
      </c>
      <c r="C54" t="s">
        <v>146</v>
      </c>
      <c r="D54">
        <v>20</v>
      </c>
      <c r="E54">
        <v>29.74</v>
      </c>
      <c r="F54">
        <v>594.8</v>
      </c>
      <c r="G54">
        <v>0</v>
      </c>
      <c r="H54" t="str">
        <f>_xlfn.XLOOKUP(B54,PurchaseOrders!$A:$A,PurchaseOrders!$B:$B,"Not Found")</f>
        <v>S010</v>
      </c>
    </row>
    <row r="55" spans="1:8">
      <c r="A55" t="s">
        <v>936</v>
      </c>
      <c r="B55" t="s">
        <v>606</v>
      </c>
      <c r="C55" t="s">
        <v>130</v>
      </c>
      <c r="D55">
        <v>100</v>
      </c>
      <c r="E55">
        <v>42.08</v>
      </c>
      <c r="F55">
        <v>4208</v>
      </c>
      <c r="G55">
        <v>59</v>
      </c>
      <c r="H55" t="str">
        <f>_xlfn.XLOOKUP(B55,PurchaseOrders!$A:$A,PurchaseOrders!$B:$B,"Not Found")</f>
        <v>S018</v>
      </c>
    </row>
    <row r="56" spans="1:8">
      <c r="A56" t="s">
        <v>937</v>
      </c>
      <c r="B56" t="s">
        <v>607</v>
      </c>
      <c r="C56" t="s">
        <v>222</v>
      </c>
      <c r="D56">
        <v>100</v>
      </c>
      <c r="E56">
        <v>88.6</v>
      </c>
      <c r="F56">
        <v>8860</v>
      </c>
      <c r="G56">
        <v>75</v>
      </c>
      <c r="H56" t="str">
        <f>_xlfn.XLOOKUP(B56,PurchaseOrders!$A:$A,PurchaseOrders!$B:$B,"Not Found")</f>
        <v>S012</v>
      </c>
    </row>
    <row r="57" spans="1:8">
      <c r="A57" t="s">
        <v>938</v>
      </c>
      <c r="B57" t="s">
        <v>608</v>
      </c>
      <c r="C57" t="s">
        <v>126</v>
      </c>
      <c r="D57">
        <v>500</v>
      </c>
      <c r="E57">
        <v>93.31</v>
      </c>
      <c r="F57">
        <v>46655</v>
      </c>
      <c r="G57">
        <v>0</v>
      </c>
      <c r="H57" t="str">
        <f>_xlfn.XLOOKUP(B57,PurchaseOrders!$A:$A,PurchaseOrders!$B:$B,"Not Found")</f>
        <v>S001</v>
      </c>
    </row>
    <row r="58" spans="1:8">
      <c r="A58" t="s">
        <v>939</v>
      </c>
      <c r="B58" t="s">
        <v>609</v>
      </c>
      <c r="C58" t="s">
        <v>210</v>
      </c>
      <c r="D58">
        <v>300</v>
      </c>
      <c r="E58">
        <v>83.66</v>
      </c>
      <c r="F58">
        <v>25098</v>
      </c>
      <c r="G58">
        <v>0</v>
      </c>
      <c r="H58" t="str">
        <f>_xlfn.XLOOKUP(B58,PurchaseOrders!$A:$A,PurchaseOrders!$B:$B,"Not Found")</f>
        <v>S020</v>
      </c>
    </row>
    <row r="59" spans="1:8">
      <c r="A59" t="s">
        <v>940</v>
      </c>
      <c r="B59" t="s">
        <v>610</v>
      </c>
      <c r="C59" t="s">
        <v>164</v>
      </c>
      <c r="D59">
        <v>150</v>
      </c>
      <c r="E59">
        <v>90.51</v>
      </c>
      <c r="F59">
        <v>13576.5</v>
      </c>
      <c r="G59">
        <v>150</v>
      </c>
      <c r="H59" t="str">
        <f>_xlfn.XLOOKUP(B59,PurchaseOrders!$A:$A,PurchaseOrders!$B:$B,"Not Found")</f>
        <v>S018</v>
      </c>
    </row>
    <row r="60" spans="1:8">
      <c r="A60" t="s">
        <v>941</v>
      </c>
      <c r="B60" t="s">
        <v>611</v>
      </c>
      <c r="C60" t="s">
        <v>184</v>
      </c>
      <c r="D60">
        <v>100</v>
      </c>
      <c r="E60">
        <v>50.57</v>
      </c>
      <c r="F60">
        <v>5057</v>
      </c>
      <c r="G60">
        <v>100</v>
      </c>
      <c r="H60" t="str">
        <f>_xlfn.XLOOKUP(B60,PurchaseOrders!$A:$A,PurchaseOrders!$B:$B,"Not Found")</f>
        <v>S009</v>
      </c>
    </row>
    <row r="61" spans="1:8">
      <c r="A61" t="s">
        <v>942</v>
      </c>
      <c r="B61" t="s">
        <v>612</v>
      </c>
      <c r="C61" t="s">
        <v>196</v>
      </c>
      <c r="D61">
        <v>150</v>
      </c>
      <c r="E61">
        <v>33.68</v>
      </c>
      <c r="F61">
        <v>5052</v>
      </c>
      <c r="G61">
        <v>150</v>
      </c>
      <c r="H61" t="str">
        <f>_xlfn.XLOOKUP(B61,PurchaseOrders!$A:$A,PurchaseOrders!$B:$B,"Not Found")</f>
        <v>S016</v>
      </c>
    </row>
    <row r="62" spans="1:8">
      <c r="A62" t="s">
        <v>943</v>
      </c>
      <c r="B62" t="s">
        <v>613</v>
      </c>
      <c r="C62" t="s">
        <v>88</v>
      </c>
      <c r="D62">
        <v>150</v>
      </c>
      <c r="E62">
        <v>81.09</v>
      </c>
      <c r="F62">
        <v>12163.5</v>
      </c>
      <c r="G62">
        <v>150</v>
      </c>
      <c r="H62" t="str">
        <f>_xlfn.XLOOKUP(B62,PurchaseOrders!$A:$A,PurchaseOrders!$B:$B,"Not Found")</f>
        <v>S017</v>
      </c>
    </row>
    <row r="63" spans="1:8">
      <c r="A63" t="s">
        <v>944</v>
      </c>
      <c r="B63" t="s">
        <v>614</v>
      </c>
      <c r="C63" t="s">
        <v>186</v>
      </c>
      <c r="D63">
        <v>500</v>
      </c>
      <c r="E63">
        <v>24.53</v>
      </c>
      <c r="F63">
        <v>12265</v>
      </c>
      <c r="G63">
        <v>0</v>
      </c>
      <c r="H63" t="str">
        <f>_xlfn.XLOOKUP(B63,PurchaseOrders!$A:$A,PurchaseOrders!$B:$B,"Not Found")</f>
        <v>S016</v>
      </c>
    </row>
    <row r="64" spans="1:8">
      <c r="A64" t="s">
        <v>945</v>
      </c>
      <c r="B64" t="s">
        <v>615</v>
      </c>
      <c r="C64" t="s">
        <v>128</v>
      </c>
      <c r="D64">
        <v>100</v>
      </c>
      <c r="E64">
        <v>36.45</v>
      </c>
      <c r="F64">
        <v>3645</v>
      </c>
      <c r="G64">
        <v>100</v>
      </c>
      <c r="H64" t="str">
        <f>_xlfn.XLOOKUP(B64,PurchaseOrders!$A:$A,PurchaseOrders!$B:$B,"Not Found")</f>
        <v>S018</v>
      </c>
    </row>
    <row r="65" spans="1:8">
      <c r="A65" t="s">
        <v>946</v>
      </c>
      <c r="B65" t="s">
        <v>616</v>
      </c>
      <c r="C65" t="s">
        <v>86</v>
      </c>
      <c r="D65">
        <v>300</v>
      </c>
      <c r="E65">
        <v>20.16</v>
      </c>
      <c r="F65">
        <v>6048</v>
      </c>
      <c r="G65">
        <v>300</v>
      </c>
      <c r="H65" t="str">
        <f>_xlfn.XLOOKUP(B65,PurchaseOrders!$A:$A,PurchaseOrders!$B:$B,"Not Found")</f>
        <v>S008</v>
      </c>
    </row>
    <row r="66" spans="1:8">
      <c r="A66" t="s">
        <v>947</v>
      </c>
      <c r="B66" t="s">
        <v>617</v>
      </c>
      <c r="C66" t="s">
        <v>188</v>
      </c>
      <c r="D66">
        <v>300</v>
      </c>
      <c r="E66">
        <v>58.86</v>
      </c>
      <c r="F66">
        <v>17658</v>
      </c>
      <c r="G66">
        <v>300</v>
      </c>
      <c r="H66" t="str">
        <f>_xlfn.XLOOKUP(B66,PurchaseOrders!$A:$A,PurchaseOrders!$B:$B,"Not Found")</f>
        <v>S018</v>
      </c>
    </row>
    <row r="67" spans="1:8">
      <c r="A67" t="s">
        <v>948</v>
      </c>
      <c r="B67" t="s">
        <v>618</v>
      </c>
      <c r="C67" t="s">
        <v>204</v>
      </c>
      <c r="D67">
        <v>200</v>
      </c>
      <c r="E67">
        <v>5.09</v>
      </c>
      <c r="F67">
        <v>1018</v>
      </c>
      <c r="G67">
        <v>42</v>
      </c>
      <c r="H67" t="str">
        <f>_xlfn.XLOOKUP(B67,PurchaseOrders!$A:$A,PurchaseOrders!$B:$B,"Not Found")</f>
        <v>S008</v>
      </c>
    </row>
    <row r="68" spans="1:8">
      <c r="A68" t="s">
        <v>949</v>
      </c>
      <c r="B68" t="s">
        <v>619</v>
      </c>
      <c r="C68" t="s">
        <v>226</v>
      </c>
      <c r="D68">
        <v>500</v>
      </c>
      <c r="E68">
        <v>35.84</v>
      </c>
      <c r="F68">
        <v>17920</v>
      </c>
      <c r="G68">
        <v>0</v>
      </c>
      <c r="H68" t="str">
        <f>_xlfn.XLOOKUP(B68,PurchaseOrders!$A:$A,PurchaseOrders!$B:$B,"Not Found")</f>
        <v>S013</v>
      </c>
    </row>
    <row r="69" spans="1:8">
      <c r="A69" t="s">
        <v>950</v>
      </c>
      <c r="B69" t="s">
        <v>620</v>
      </c>
      <c r="C69" t="s">
        <v>120</v>
      </c>
      <c r="D69">
        <v>500</v>
      </c>
      <c r="E69">
        <v>35.98</v>
      </c>
      <c r="F69">
        <v>17990</v>
      </c>
      <c r="G69">
        <v>0</v>
      </c>
      <c r="H69" t="str">
        <f>_xlfn.XLOOKUP(B69,PurchaseOrders!$A:$A,PurchaseOrders!$B:$B,"Not Found")</f>
        <v>S020</v>
      </c>
    </row>
    <row r="70" spans="1:8">
      <c r="A70" t="s">
        <v>951</v>
      </c>
      <c r="B70" t="s">
        <v>621</v>
      </c>
      <c r="C70" t="s">
        <v>220</v>
      </c>
      <c r="D70">
        <v>20</v>
      </c>
      <c r="E70">
        <v>79.27</v>
      </c>
      <c r="F70">
        <v>1585.4</v>
      </c>
      <c r="G70">
        <v>20</v>
      </c>
      <c r="H70" t="str">
        <f>_xlfn.XLOOKUP(B70,PurchaseOrders!$A:$A,PurchaseOrders!$B:$B,"Not Found")</f>
        <v>S018</v>
      </c>
    </row>
    <row r="71" spans="1:8">
      <c r="A71" t="s">
        <v>952</v>
      </c>
      <c r="B71" t="s">
        <v>622</v>
      </c>
      <c r="C71" t="s">
        <v>96</v>
      </c>
      <c r="D71">
        <v>500</v>
      </c>
      <c r="E71">
        <v>100.92</v>
      </c>
      <c r="F71">
        <v>50460</v>
      </c>
      <c r="G71">
        <v>0</v>
      </c>
      <c r="H71" t="str">
        <f>_xlfn.XLOOKUP(B71,PurchaseOrders!$A:$A,PurchaseOrders!$B:$B,"Not Found")</f>
        <v>S015</v>
      </c>
    </row>
    <row r="72" spans="1:8">
      <c r="A72" t="s">
        <v>953</v>
      </c>
      <c r="B72" t="s">
        <v>623</v>
      </c>
      <c r="C72" t="s">
        <v>186</v>
      </c>
      <c r="D72">
        <v>50</v>
      </c>
      <c r="E72">
        <v>24.53</v>
      </c>
      <c r="F72">
        <v>1226.5</v>
      </c>
      <c r="G72">
        <v>0</v>
      </c>
      <c r="H72" t="str">
        <f>_xlfn.XLOOKUP(B72,PurchaseOrders!$A:$A,PurchaseOrders!$B:$B,"Not Found")</f>
        <v>S016</v>
      </c>
    </row>
    <row r="73" spans="1:8">
      <c r="A73" t="s">
        <v>954</v>
      </c>
      <c r="B73" t="s">
        <v>624</v>
      </c>
      <c r="C73" t="s">
        <v>120</v>
      </c>
      <c r="D73">
        <v>150</v>
      </c>
      <c r="E73">
        <v>35.98</v>
      </c>
      <c r="F73">
        <v>5397</v>
      </c>
      <c r="G73">
        <v>150</v>
      </c>
      <c r="H73" t="str">
        <f>_xlfn.XLOOKUP(B73,PurchaseOrders!$A:$A,PurchaseOrders!$B:$B,"Not Found")</f>
        <v>S020</v>
      </c>
    </row>
    <row r="74" spans="1:8">
      <c r="A74" t="s">
        <v>955</v>
      </c>
      <c r="B74" t="s">
        <v>625</v>
      </c>
      <c r="C74" t="s">
        <v>108</v>
      </c>
      <c r="D74">
        <v>20</v>
      </c>
      <c r="E74">
        <v>75.18</v>
      </c>
      <c r="F74">
        <v>1503.6</v>
      </c>
      <c r="G74">
        <v>20</v>
      </c>
      <c r="H74" t="str">
        <f>_xlfn.XLOOKUP(B74,PurchaseOrders!$A:$A,PurchaseOrders!$B:$B,"Not Found")</f>
        <v>S007</v>
      </c>
    </row>
    <row r="75" spans="1:8">
      <c r="A75" t="s">
        <v>956</v>
      </c>
      <c r="B75" t="s">
        <v>626</v>
      </c>
      <c r="C75" t="s">
        <v>92</v>
      </c>
      <c r="D75">
        <v>200</v>
      </c>
      <c r="E75">
        <v>63.09</v>
      </c>
      <c r="F75">
        <v>12618</v>
      </c>
      <c r="G75">
        <v>200</v>
      </c>
      <c r="H75" t="str">
        <f>_xlfn.XLOOKUP(B75,PurchaseOrders!$A:$A,PurchaseOrders!$B:$B,"Not Found")</f>
        <v>S016</v>
      </c>
    </row>
    <row r="76" spans="1:8">
      <c r="A76" t="s">
        <v>957</v>
      </c>
      <c r="B76" t="s">
        <v>627</v>
      </c>
      <c r="C76" t="s">
        <v>154</v>
      </c>
      <c r="D76">
        <v>500</v>
      </c>
      <c r="E76">
        <v>69.42</v>
      </c>
      <c r="F76">
        <v>34710</v>
      </c>
      <c r="G76">
        <v>500</v>
      </c>
      <c r="H76" t="str">
        <f>_xlfn.XLOOKUP(B76,PurchaseOrders!$A:$A,PurchaseOrders!$B:$B,"Not Found")</f>
        <v>S016</v>
      </c>
    </row>
    <row r="77" spans="1:8">
      <c r="A77" t="s">
        <v>958</v>
      </c>
      <c r="B77" t="s">
        <v>628</v>
      </c>
      <c r="C77" t="s">
        <v>228</v>
      </c>
      <c r="D77">
        <v>20</v>
      </c>
      <c r="E77">
        <v>65.89</v>
      </c>
      <c r="F77">
        <v>1317.8</v>
      </c>
      <c r="G77">
        <v>0</v>
      </c>
      <c r="H77" t="str">
        <f>_xlfn.XLOOKUP(B77,PurchaseOrders!$A:$A,PurchaseOrders!$B:$B,"Not Found")</f>
        <v>S009</v>
      </c>
    </row>
    <row r="78" spans="1:8">
      <c r="A78" t="s">
        <v>959</v>
      </c>
      <c r="B78" t="s">
        <v>629</v>
      </c>
      <c r="C78" t="s">
        <v>96</v>
      </c>
      <c r="D78">
        <v>100</v>
      </c>
      <c r="E78">
        <v>100.92</v>
      </c>
      <c r="F78">
        <v>10092</v>
      </c>
      <c r="G78">
        <v>0</v>
      </c>
      <c r="H78" t="str">
        <f>_xlfn.XLOOKUP(B78,PurchaseOrders!$A:$A,PurchaseOrders!$B:$B,"Not Found")</f>
        <v>S015</v>
      </c>
    </row>
    <row r="79" spans="1:8">
      <c r="A79" t="s">
        <v>960</v>
      </c>
      <c r="B79" t="s">
        <v>630</v>
      </c>
      <c r="C79" t="s">
        <v>90</v>
      </c>
      <c r="D79">
        <v>100</v>
      </c>
      <c r="E79">
        <v>60.53</v>
      </c>
      <c r="F79">
        <v>6053</v>
      </c>
      <c r="G79">
        <v>35</v>
      </c>
      <c r="H79" t="str">
        <f>_xlfn.XLOOKUP(B79,PurchaseOrders!$A:$A,PurchaseOrders!$B:$B,"Not Found")</f>
        <v>S014</v>
      </c>
    </row>
    <row r="80" spans="1:8">
      <c r="A80" t="s">
        <v>961</v>
      </c>
      <c r="B80" t="s">
        <v>631</v>
      </c>
      <c r="C80" t="s">
        <v>88</v>
      </c>
      <c r="D80">
        <v>300</v>
      </c>
      <c r="E80">
        <v>81.09</v>
      </c>
      <c r="F80">
        <v>24327</v>
      </c>
      <c r="G80">
        <v>300</v>
      </c>
      <c r="H80" t="str">
        <f>_xlfn.XLOOKUP(B80,PurchaseOrders!$A:$A,PurchaseOrders!$B:$B,"Not Found")</f>
        <v>S017</v>
      </c>
    </row>
    <row r="81" spans="1:8">
      <c r="A81" t="s">
        <v>962</v>
      </c>
      <c r="B81" t="s">
        <v>632</v>
      </c>
      <c r="C81" t="s">
        <v>184</v>
      </c>
      <c r="D81">
        <v>100</v>
      </c>
      <c r="E81">
        <v>57.74</v>
      </c>
      <c r="F81">
        <v>5774</v>
      </c>
      <c r="G81">
        <v>100</v>
      </c>
      <c r="H81" t="str">
        <f>_xlfn.XLOOKUP(B81,PurchaseOrders!$A:$A,PurchaseOrders!$B:$B,"Not Found")</f>
        <v>S012</v>
      </c>
    </row>
    <row r="82" spans="1:8">
      <c r="A82" t="s">
        <v>963</v>
      </c>
      <c r="B82" t="s">
        <v>633</v>
      </c>
      <c r="C82" t="s">
        <v>192</v>
      </c>
      <c r="D82">
        <v>150</v>
      </c>
      <c r="E82">
        <v>55.29</v>
      </c>
      <c r="F82">
        <v>8293.5</v>
      </c>
      <c r="G82">
        <v>0</v>
      </c>
      <c r="H82" t="str">
        <f>_xlfn.XLOOKUP(B82,PurchaseOrders!$A:$A,PurchaseOrders!$B:$B,"Not Found")</f>
        <v>S020</v>
      </c>
    </row>
    <row r="83" spans="1:8">
      <c r="A83" t="s">
        <v>964</v>
      </c>
      <c r="B83" t="s">
        <v>634</v>
      </c>
      <c r="C83" t="s">
        <v>130</v>
      </c>
      <c r="D83">
        <v>200</v>
      </c>
      <c r="E83">
        <v>50.77</v>
      </c>
      <c r="F83">
        <v>10154</v>
      </c>
      <c r="G83">
        <v>47</v>
      </c>
      <c r="H83" t="str">
        <f>_xlfn.XLOOKUP(B83,PurchaseOrders!$A:$A,PurchaseOrders!$B:$B,"Not Found")</f>
        <v>S005</v>
      </c>
    </row>
    <row r="84" spans="1:8">
      <c r="A84" t="s">
        <v>965</v>
      </c>
      <c r="B84" t="s">
        <v>635</v>
      </c>
      <c r="C84" t="s">
        <v>204</v>
      </c>
      <c r="D84">
        <v>100</v>
      </c>
      <c r="E84">
        <v>5.09</v>
      </c>
      <c r="F84">
        <v>509</v>
      </c>
      <c r="G84">
        <v>100</v>
      </c>
      <c r="H84" t="str">
        <f>_xlfn.XLOOKUP(B84,PurchaseOrders!$A:$A,PurchaseOrders!$B:$B,"Not Found")</f>
        <v>S008</v>
      </c>
    </row>
    <row r="85" spans="1:8">
      <c r="A85" t="s">
        <v>966</v>
      </c>
      <c r="B85" t="s">
        <v>636</v>
      </c>
      <c r="C85" t="s">
        <v>184</v>
      </c>
      <c r="D85">
        <v>20</v>
      </c>
      <c r="E85">
        <v>50.57</v>
      </c>
      <c r="F85">
        <v>1011.4</v>
      </c>
      <c r="G85">
        <v>20</v>
      </c>
      <c r="H85" t="str">
        <f>_xlfn.XLOOKUP(B85,PurchaseOrders!$A:$A,PurchaseOrders!$B:$B,"Not Found")</f>
        <v>S009</v>
      </c>
    </row>
    <row r="86" spans="1:8">
      <c r="A86" t="s">
        <v>967</v>
      </c>
      <c r="B86" t="s">
        <v>637</v>
      </c>
      <c r="C86" t="s">
        <v>108</v>
      </c>
      <c r="D86">
        <v>150</v>
      </c>
      <c r="E86">
        <v>75.18</v>
      </c>
      <c r="F86">
        <v>11277</v>
      </c>
      <c r="G86">
        <v>87</v>
      </c>
      <c r="H86" t="str">
        <f>_xlfn.XLOOKUP(B86,PurchaseOrders!$A:$A,PurchaseOrders!$B:$B,"Not Found")</f>
        <v>S007</v>
      </c>
    </row>
    <row r="87" spans="1:8">
      <c r="A87" t="s">
        <v>968</v>
      </c>
      <c r="B87" t="s">
        <v>638</v>
      </c>
      <c r="C87" t="s">
        <v>162</v>
      </c>
      <c r="D87">
        <v>50</v>
      </c>
      <c r="E87">
        <v>88.51</v>
      </c>
      <c r="F87">
        <v>4425.5</v>
      </c>
      <c r="G87">
        <v>50</v>
      </c>
      <c r="H87" t="str">
        <f>_xlfn.XLOOKUP(B87,PurchaseOrders!$A:$A,PurchaseOrders!$B:$B,"Not Found")</f>
        <v>S006</v>
      </c>
    </row>
    <row r="88" spans="1:8">
      <c r="A88" t="s">
        <v>969</v>
      </c>
      <c r="B88" t="s">
        <v>639</v>
      </c>
      <c r="C88" t="s">
        <v>198</v>
      </c>
      <c r="D88">
        <v>500</v>
      </c>
      <c r="E88">
        <v>71.75</v>
      </c>
      <c r="F88">
        <v>35875</v>
      </c>
      <c r="G88">
        <v>293</v>
      </c>
      <c r="H88" t="str">
        <f>_xlfn.XLOOKUP(B88,PurchaseOrders!$A:$A,PurchaseOrders!$B:$B,"Not Found")</f>
        <v>S003</v>
      </c>
    </row>
    <row r="89" spans="1:8">
      <c r="A89" t="s">
        <v>970</v>
      </c>
      <c r="B89" t="s">
        <v>640</v>
      </c>
      <c r="C89" t="s">
        <v>226</v>
      </c>
      <c r="D89">
        <v>200</v>
      </c>
      <c r="E89">
        <v>45.95</v>
      </c>
      <c r="F89">
        <v>9190</v>
      </c>
      <c r="G89">
        <v>200</v>
      </c>
      <c r="H89" t="str">
        <f>_xlfn.XLOOKUP(B89,PurchaseOrders!$A:$A,PurchaseOrders!$B:$B,"Not Found")</f>
        <v>S009</v>
      </c>
    </row>
    <row r="90" spans="1:8">
      <c r="A90" t="s">
        <v>971</v>
      </c>
      <c r="B90" t="s">
        <v>641</v>
      </c>
      <c r="C90" t="s">
        <v>224</v>
      </c>
      <c r="D90">
        <v>100</v>
      </c>
      <c r="E90">
        <v>107.13</v>
      </c>
      <c r="F90">
        <v>10713</v>
      </c>
      <c r="G90">
        <v>100</v>
      </c>
      <c r="H90" t="str">
        <f>_xlfn.XLOOKUP(B90,PurchaseOrders!$A:$A,PurchaseOrders!$B:$B,"Not Found")</f>
        <v>S016</v>
      </c>
    </row>
    <row r="91" spans="1:8">
      <c r="A91" t="s">
        <v>972</v>
      </c>
      <c r="B91" t="s">
        <v>642</v>
      </c>
      <c r="C91" t="s">
        <v>188</v>
      </c>
      <c r="D91">
        <v>200</v>
      </c>
      <c r="E91">
        <v>51.04</v>
      </c>
      <c r="F91">
        <v>10208</v>
      </c>
      <c r="G91">
        <v>200</v>
      </c>
      <c r="H91" t="str">
        <f>_xlfn.XLOOKUP(B91,PurchaseOrders!$A:$A,PurchaseOrders!$B:$B,"Not Found")</f>
        <v>S001</v>
      </c>
    </row>
    <row r="92" spans="1:8">
      <c r="A92" t="s">
        <v>973</v>
      </c>
      <c r="B92" t="s">
        <v>643</v>
      </c>
      <c r="C92" t="s">
        <v>80</v>
      </c>
      <c r="D92">
        <v>500</v>
      </c>
      <c r="E92">
        <v>57.37</v>
      </c>
      <c r="F92">
        <v>28685</v>
      </c>
      <c r="G92">
        <v>500</v>
      </c>
      <c r="H92" t="str">
        <f>_xlfn.XLOOKUP(B92,PurchaseOrders!$A:$A,PurchaseOrders!$B:$B,"Not Found")</f>
        <v>S020</v>
      </c>
    </row>
    <row r="93" spans="1:8">
      <c r="A93" t="s">
        <v>974</v>
      </c>
      <c r="B93" t="s">
        <v>644</v>
      </c>
      <c r="C93" t="s">
        <v>206</v>
      </c>
      <c r="D93">
        <v>150</v>
      </c>
      <c r="E93">
        <v>61.46</v>
      </c>
      <c r="F93">
        <v>9219</v>
      </c>
      <c r="G93">
        <v>150</v>
      </c>
      <c r="H93" t="str">
        <f>_xlfn.XLOOKUP(B93,PurchaseOrders!$A:$A,PurchaseOrders!$B:$B,"Not Found")</f>
        <v>S017</v>
      </c>
    </row>
    <row r="94" spans="1:8">
      <c r="A94" t="s">
        <v>975</v>
      </c>
      <c r="B94" t="s">
        <v>645</v>
      </c>
      <c r="C94" t="s">
        <v>86</v>
      </c>
      <c r="D94">
        <v>200</v>
      </c>
      <c r="E94">
        <v>19.6</v>
      </c>
      <c r="F94">
        <v>3920</v>
      </c>
      <c r="G94">
        <v>107</v>
      </c>
      <c r="H94" t="str">
        <f>_xlfn.XLOOKUP(B94,PurchaseOrders!$A:$A,PurchaseOrders!$B:$B,"Not Found")</f>
        <v>S004</v>
      </c>
    </row>
    <row r="95" spans="1:8">
      <c r="A95" t="s">
        <v>976</v>
      </c>
      <c r="B95" t="s">
        <v>646</v>
      </c>
      <c r="C95" t="s">
        <v>180</v>
      </c>
      <c r="D95">
        <v>50</v>
      </c>
      <c r="E95">
        <v>104.08</v>
      </c>
      <c r="F95">
        <v>5204</v>
      </c>
      <c r="G95">
        <v>50</v>
      </c>
      <c r="H95" t="str">
        <f>_xlfn.XLOOKUP(B95,PurchaseOrders!$A:$A,PurchaseOrders!$B:$B,"Not Found")</f>
        <v>S005</v>
      </c>
    </row>
    <row r="96" spans="1:8">
      <c r="A96" t="s">
        <v>977</v>
      </c>
      <c r="B96" t="s">
        <v>647</v>
      </c>
      <c r="C96" t="s">
        <v>68</v>
      </c>
      <c r="D96">
        <v>500</v>
      </c>
      <c r="E96">
        <v>53.99</v>
      </c>
      <c r="F96">
        <v>26995</v>
      </c>
      <c r="G96">
        <v>236</v>
      </c>
      <c r="H96" t="str">
        <f>_xlfn.XLOOKUP(B96,PurchaseOrders!$A:$A,PurchaseOrders!$B:$B,"Not Found")</f>
        <v>S017</v>
      </c>
    </row>
    <row r="97" spans="1:8">
      <c r="A97" t="s">
        <v>978</v>
      </c>
      <c r="B97" t="s">
        <v>648</v>
      </c>
      <c r="C97" t="s">
        <v>210</v>
      </c>
      <c r="D97">
        <v>50</v>
      </c>
      <c r="E97">
        <v>83.66</v>
      </c>
      <c r="F97">
        <v>4183</v>
      </c>
      <c r="G97">
        <v>50</v>
      </c>
      <c r="H97" t="str">
        <f>_xlfn.XLOOKUP(B97,PurchaseOrders!$A:$A,PurchaseOrders!$B:$B,"Not Found")</f>
        <v>S020</v>
      </c>
    </row>
    <row r="98" spans="1:8">
      <c r="A98" t="s">
        <v>979</v>
      </c>
      <c r="B98" t="s">
        <v>649</v>
      </c>
      <c r="C98" t="s">
        <v>102</v>
      </c>
      <c r="D98">
        <v>50</v>
      </c>
      <c r="E98">
        <v>68.53</v>
      </c>
      <c r="F98">
        <v>3426.5</v>
      </c>
      <c r="G98">
        <v>13</v>
      </c>
      <c r="H98" t="str">
        <f>_xlfn.XLOOKUP(B98,PurchaseOrders!$A:$A,PurchaseOrders!$B:$B,"Not Found")</f>
        <v>S002</v>
      </c>
    </row>
    <row r="99" spans="1:8">
      <c r="A99" t="s">
        <v>980</v>
      </c>
      <c r="B99" t="s">
        <v>650</v>
      </c>
      <c r="C99" t="s">
        <v>158</v>
      </c>
      <c r="D99">
        <v>100</v>
      </c>
      <c r="E99">
        <v>71.81</v>
      </c>
      <c r="F99">
        <v>7181</v>
      </c>
      <c r="G99">
        <v>100</v>
      </c>
      <c r="H99" t="str">
        <f>_xlfn.XLOOKUP(B99,PurchaseOrders!$A:$A,PurchaseOrders!$B:$B,"Not Found")</f>
        <v>S007</v>
      </c>
    </row>
    <row r="100" spans="1:8">
      <c r="A100" t="s">
        <v>981</v>
      </c>
      <c r="B100" t="s">
        <v>651</v>
      </c>
      <c r="C100" t="s">
        <v>208</v>
      </c>
      <c r="D100">
        <v>200</v>
      </c>
      <c r="E100">
        <v>29.71</v>
      </c>
      <c r="F100">
        <v>5942</v>
      </c>
      <c r="G100">
        <v>200</v>
      </c>
      <c r="H100" t="str">
        <f>_xlfn.XLOOKUP(B100,PurchaseOrders!$A:$A,PurchaseOrders!$B:$B,"Not Found")</f>
        <v>S011</v>
      </c>
    </row>
    <row r="101" spans="1:8">
      <c r="A101" t="s">
        <v>982</v>
      </c>
      <c r="B101" t="s">
        <v>652</v>
      </c>
      <c r="C101" t="s">
        <v>88</v>
      </c>
      <c r="D101">
        <v>150</v>
      </c>
      <c r="E101">
        <v>81.09</v>
      </c>
      <c r="F101">
        <v>12163.5</v>
      </c>
      <c r="G101">
        <v>116</v>
      </c>
      <c r="H101" t="str">
        <f>_xlfn.XLOOKUP(B101,PurchaseOrders!$A:$A,PurchaseOrders!$B:$B,"Not Found")</f>
        <v>S017</v>
      </c>
    </row>
    <row r="102" spans="1:8">
      <c r="A102" t="s">
        <v>983</v>
      </c>
      <c r="B102" t="s">
        <v>653</v>
      </c>
      <c r="C102" t="s">
        <v>180</v>
      </c>
      <c r="D102">
        <v>100</v>
      </c>
      <c r="E102">
        <v>104.08</v>
      </c>
      <c r="F102">
        <v>10408</v>
      </c>
      <c r="G102">
        <v>26</v>
      </c>
      <c r="H102" t="str">
        <f>_xlfn.XLOOKUP(B102,PurchaseOrders!$A:$A,PurchaseOrders!$B:$B,"Not Found")</f>
        <v>S005</v>
      </c>
    </row>
    <row r="103" spans="1:8">
      <c r="A103" t="s">
        <v>984</v>
      </c>
      <c r="B103" t="s">
        <v>654</v>
      </c>
      <c r="C103" t="s">
        <v>136</v>
      </c>
      <c r="D103">
        <v>200</v>
      </c>
      <c r="E103">
        <v>40.56</v>
      </c>
      <c r="F103">
        <v>8112</v>
      </c>
      <c r="G103">
        <v>200</v>
      </c>
      <c r="H103" t="str">
        <f>_xlfn.XLOOKUP(B103,PurchaseOrders!$A:$A,PurchaseOrders!$B:$B,"Not Found")</f>
        <v>S010</v>
      </c>
    </row>
    <row r="104" spans="1:8">
      <c r="A104" t="s">
        <v>985</v>
      </c>
      <c r="B104" t="s">
        <v>655</v>
      </c>
      <c r="C104" t="s">
        <v>198</v>
      </c>
      <c r="D104">
        <v>300</v>
      </c>
      <c r="E104">
        <v>71.75</v>
      </c>
      <c r="F104">
        <v>21525</v>
      </c>
      <c r="G104">
        <v>229</v>
      </c>
      <c r="H104" t="str">
        <f>_xlfn.XLOOKUP(B104,PurchaseOrders!$A:$A,PurchaseOrders!$B:$B,"Not Found")</f>
        <v>S003</v>
      </c>
    </row>
    <row r="105" spans="1:8">
      <c r="A105" t="s">
        <v>986</v>
      </c>
      <c r="B105" t="s">
        <v>656</v>
      </c>
      <c r="C105" t="s">
        <v>198</v>
      </c>
      <c r="D105">
        <v>500</v>
      </c>
      <c r="E105">
        <v>71.75</v>
      </c>
      <c r="F105">
        <v>35875</v>
      </c>
      <c r="G105">
        <v>500</v>
      </c>
      <c r="H105" t="str">
        <f>_xlfn.XLOOKUP(B105,PurchaseOrders!$A:$A,PurchaseOrders!$B:$B,"Not Found")</f>
        <v>S003</v>
      </c>
    </row>
    <row r="106" spans="1:8">
      <c r="A106" t="s">
        <v>987</v>
      </c>
      <c r="B106" t="s">
        <v>657</v>
      </c>
      <c r="C106" t="s">
        <v>126</v>
      </c>
      <c r="D106">
        <v>150</v>
      </c>
      <c r="E106">
        <v>93.31</v>
      </c>
      <c r="F106">
        <v>13996.5</v>
      </c>
      <c r="G106">
        <v>150</v>
      </c>
      <c r="H106" t="str">
        <f>_xlfn.XLOOKUP(B106,PurchaseOrders!$A:$A,PurchaseOrders!$B:$B,"Not Found")</f>
        <v>S001</v>
      </c>
    </row>
    <row r="107" spans="1:8">
      <c r="A107" t="s">
        <v>988</v>
      </c>
      <c r="B107" t="s">
        <v>658</v>
      </c>
      <c r="C107" t="s">
        <v>86</v>
      </c>
      <c r="D107">
        <v>20</v>
      </c>
      <c r="E107">
        <v>19.6</v>
      </c>
      <c r="F107">
        <v>392</v>
      </c>
      <c r="G107">
        <v>0</v>
      </c>
      <c r="H107" t="str">
        <f>_xlfn.XLOOKUP(B107,PurchaseOrders!$A:$A,PurchaseOrders!$B:$B,"Not Found")</f>
        <v>S004</v>
      </c>
    </row>
    <row r="108" spans="1:8">
      <c r="A108" t="s">
        <v>989</v>
      </c>
      <c r="B108" t="s">
        <v>659</v>
      </c>
      <c r="C108" t="s">
        <v>106</v>
      </c>
      <c r="D108">
        <v>150</v>
      </c>
      <c r="E108">
        <v>65.06</v>
      </c>
      <c r="F108">
        <v>9759</v>
      </c>
      <c r="G108">
        <v>150</v>
      </c>
      <c r="H108" t="str">
        <f>_xlfn.XLOOKUP(B108,PurchaseOrders!$A:$A,PurchaseOrders!$B:$B,"Not Found")</f>
        <v>S007</v>
      </c>
    </row>
    <row r="109" spans="1:8">
      <c r="A109" t="s">
        <v>990</v>
      </c>
      <c r="B109" t="s">
        <v>660</v>
      </c>
      <c r="C109" t="s">
        <v>212</v>
      </c>
      <c r="D109">
        <v>300</v>
      </c>
      <c r="E109">
        <v>42.77</v>
      </c>
      <c r="F109">
        <v>12831</v>
      </c>
      <c r="G109">
        <v>106</v>
      </c>
      <c r="H109" t="str">
        <f>_xlfn.XLOOKUP(B109,PurchaseOrders!$A:$A,PurchaseOrders!$B:$B,"Not Found")</f>
        <v>S007</v>
      </c>
    </row>
    <row r="110" spans="1:8">
      <c r="A110" t="s">
        <v>991</v>
      </c>
      <c r="B110" t="s">
        <v>661</v>
      </c>
      <c r="C110" t="s">
        <v>184</v>
      </c>
      <c r="D110">
        <v>300</v>
      </c>
      <c r="E110">
        <v>50.57</v>
      </c>
      <c r="F110">
        <v>15171</v>
      </c>
      <c r="G110">
        <v>62</v>
      </c>
      <c r="H110" t="str">
        <f>_xlfn.XLOOKUP(B110,PurchaseOrders!$A:$A,PurchaseOrders!$B:$B,"Not Found")</f>
        <v>S009</v>
      </c>
    </row>
    <row r="111" spans="1:8">
      <c r="A111" t="s">
        <v>992</v>
      </c>
      <c r="B111" t="s">
        <v>662</v>
      </c>
      <c r="C111" t="s">
        <v>218</v>
      </c>
      <c r="D111">
        <v>150</v>
      </c>
      <c r="E111">
        <v>52.2</v>
      </c>
      <c r="F111">
        <v>7830</v>
      </c>
      <c r="G111">
        <v>150</v>
      </c>
      <c r="H111" t="str">
        <f>_xlfn.XLOOKUP(B111,PurchaseOrders!$A:$A,PurchaseOrders!$B:$B,"Not Found")</f>
        <v>S003</v>
      </c>
    </row>
    <row r="112" spans="1:8">
      <c r="A112" t="s">
        <v>993</v>
      </c>
      <c r="B112" t="s">
        <v>663</v>
      </c>
      <c r="C112" t="s">
        <v>128</v>
      </c>
      <c r="D112">
        <v>500</v>
      </c>
      <c r="E112">
        <v>36.45</v>
      </c>
      <c r="F112">
        <v>18225</v>
      </c>
      <c r="G112">
        <v>500</v>
      </c>
      <c r="H112" t="str">
        <f>_xlfn.XLOOKUP(B112,PurchaseOrders!$A:$A,PurchaseOrders!$B:$B,"Not Found")</f>
        <v>S018</v>
      </c>
    </row>
    <row r="113" spans="1:8">
      <c r="A113" t="s">
        <v>994</v>
      </c>
      <c r="B113" t="s">
        <v>664</v>
      </c>
      <c r="C113" t="s">
        <v>122</v>
      </c>
      <c r="D113">
        <v>20</v>
      </c>
      <c r="E113">
        <v>11.54</v>
      </c>
      <c r="F113">
        <v>230.8</v>
      </c>
      <c r="G113">
        <v>20</v>
      </c>
      <c r="H113" t="str">
        <f>_xlfn.XLOOKUP(B113,PurchaseOrders!$A:$A,PurchaseOrders!$B:$B,"Not Found")</f>
        <v>S018</v>
      </c>
    </row>
    <row r="114" spans="1:8">
      <c r="A114" t="s">
        <v>995</v>
      </c>
      <c r="B114" t="s">
        <v>665</v>
      </c>
      <c r="C114" t="s">
        <v>192</v>
      </c>
      <c r="D114">
        <v>50</v>
      </c>
      <c r="E114">
        <v>52.09</v>
      </c>
      <c r="F114">
        <v>2604.5</v>
      </c>
      <c r="G114">
        <v>50</v>
      </c>
      <c r="H114" t="str">
        <f>_xlfn.XLOOKUP(B114,PurchaseOrders!$A:$A,PurchaseOrders!$B:$B,"Not Found")</f>
        <v>S013</v>
      </c>
    </row>
    <row r="115" spans="1:8">
      <c r="A115" t="s">
        <v>996</v>
      </c>
      <c r="B115" t="s">
        <v>666</v>
      </c>
      <c r="C115" t="s">
        <v>190</v>
      </c>
      <c r="D115">
        <v>100</v>
      </c>
      <c r="E115">
        <v>35.28</v>
      </c>
      <c r="F115">
        <v>3528</v>
      </c>
      <c r="G115">
        <v>100</v>
      </c>
      <c r="H115" t="str">
        <f>_xlfn.XLOOKUP(B115,PurchaseOrders!$A:$A,PurchaseOrders!$B:$B,"Not Found")</f>
        <v>S001</v>
      </c>
    </row>
    <row r="116" spans="1:8">
      <c r="A116" t="s">
        <v>997</v>
      </c>
      <c r="B116" t="s">
        <v>667</v>
      </c>
      <c r="C116" t="s">
        <v>74</v>
      </c>
      <c r="D116">
        <v>50</v>
      </c>
      <c r="E116">
        <v>27.46</v>
      </c>
      <c r="F116">
        <v>1373</v>
      </c>
      <c r="G116">
        <v>0</v>
      </c>
      <c r="H116" t="str">
        <f>_xlfn.XLOOKUP(B116,PurchaseOrders!$A:$A,PurchaseOrders!$B:$B,"Not Found")</f>
        <v>S009</v>
      </c>
    </row>
    <row r="117" spans="1:8">
      <c r="A117" t="s">
        <v>998</v>
      </c>
      <c r="B117" t="s">
        <v>668</v>
      </c>
      <c r="C117" t="s">
        <v>92</v>
      </c>
      <c r="D117">
        <v>200</v>
      </c>
      <c r="E117">
        <v>68.11</v>
      </c>
      <c r="F117">
        <v>13622</v>
      </c>
      <c r="G117">
        <v>0</v>
      </c>
      <c r="H117" t="str">
        <f>_xlfn.XLOOKUP(B117,PurchaseOrders!$A:$A,PurchaseOrders!$B:$B,"Not Found")</f>
        <v>S019</v>
      </c>
    </row>
    <row r="118" spans="1:8">
      <c r="A118" t="s">
        <v>999</v>
      </c>
      <c r="B118" t="s">
        <v>669</v>
      </c>
      <c r="C118" t="s">
        <v>112</v>
      </c>
      <c r="D118">
        <v>150</v>
      </c>
      <c r="E118">
        <v>68.96</v>
      </c>
      <c r="F118">
        <v>10344</v>
      </c>
      <c r="G118">
        <v>150</v>
      </c>
      <c r="H118" t="str">
        <f>_xlfn.XLOOKUP(B118,PurchaseOrders!$A:$A,PurchaseOrders!$B:$B,"Not Found")</f>
        <v>S003</v>
      </c>
    </row>
    <row r="119" spans="1:8">
      <c r="A119" t="s">
        <v>1000</v>
      </c>
      <c r="B119" t="s">
        <v>670</v>
      </c>
      <c r="C119" t="s">
        <v>186</v>
      </c>
      <c r="D119">
        <v>50</v>
      </c>
      <c r="E119">
        <v>32.74</v>
      </c>
      <c r="F119">
        <v>1637</v>
      </c>
      <c r="G119">
        <v>19</v>
      </c>
      <c r="H119" t="str">
        <f>_xlfn.XLOOKUP(B119,PurchaseOrders!$A:$A,PurchaseOrders!$B:$B,"Not Found")</f>
        <v>S013</v>
      </c>
    </row>
    <row r="120" spans="1:8">
      <c r="A120" t="s">
        <v>1001</v>
      </c>
      <c r="B120" t="s">
        <v>671</v>
      </c>
      <c r="C120" t="s">
        <v>164</v>
      </c>
      <c r="D120">
        <v>150</v>
      </c>
      <c r="E120">
        <v>78.73</v>
      </c>
      <c r="F120">
        <v>11809.5</v>
      </c>
      <c r="G120">
        <v>150</v>
      </c>
      <c r="H120" t="str">
        <f>_xlfn.XLOOKUP(B120,PurchaseOrders!$A:$A,PurchaseOrders!$B:$B,"Not Found")</f>
        <v>S019</v>
      </c>
    </row>
    <row r="121" spans="1:8">
      <c r="A121" t="s">
        <v>1002</v>
      </c>
      <c r="B121" t="s">
        <v>672</v>
      </c>
      <c r="C121" t="s">
        <v>194</v>
      </c>
      <c r="D121">
        <v>150</v>
      </c>
      <c r="E121">
        <v>10.4</v>
      </c>
      <c r="F121">
        <v>1560</v>
      </c>
      <c r="G121">
        <v>150</v>
      </c>
      <c r="H121" t="str">
        <f>_xlfn.XLOOKUP(B121,PurchaseOrders!$A:$A,PurchaseOrders!$B:$B,"Not Found")</f>
        <v>S005</v>
      </c>
    </row>
    <row r="122" spans="1:8">
      <c r="A122" t="s">
        <v>1003</v>
      </c>
      <c r="B122" t="s">
        <v>673</v>
      </c>
      <c r="C122" t="s">
        <v>174</v>
      </c>
      <c r="D122">
        <v>150</v>
      </c>
      <c r="E122">
        <v>56.73</v>
      </c>
      <c r="F122">
        <v>8509.5</v>
      </c>
      <c r="G122">
        <v>75</v>
      </c>
      <c r="H122" t="str">
        <f>_xlfn.XLOOKUP(B122,PurchaseOrders!$A:$A,PurchaseOrders!$B:$B,"Not Found")</f>
        <v>S013</v>
      </c>
    </row>
    <row r="123" spans="1:8">
      <c r="A123" t="s">
        <v>1004</v>
      </c>
      <c r="B123" t="s">
        <v>674</v>
      </c>
      <c r="C123" t="s">
        <v>136</v>
      </c>
      <c r="D123">
        <v>500</v>
      </c>
      <c r="E123">
        <v>34.3</v>
      </c>
      <c r="F123">
        <v>17150</v>
      </c>
      <c r="G123">
        <v>0</v>
      </c>
      <c r="H123" t="str">
        <f>_xlfn.XLOOKUP(B123,PurchaseOrders!$A:$A,PurchaseOrders!$B:$B,"Not Found")</f>
        <v>S020</v>
      </c>
    </row>
    <row r="124" spans="1:8">
      <c r="A124" t="s">
        <v>1005</v>
      </c>
      <c r="B124" t="s">
        <v>675</v>
      </c>
      <c r="C124" t="s">
        <v>212</v>
      </c>
      <c r="D124">
        <v>300</v>
      </c>
      <c r="E124">
        <v>52.94</v>
      </c>
      <c r="F124">
        <v>15882</v>
      </c>
      <c r="G124">
        <v>300</v>
      </c>
      <c r="H124" t="str">
        <f>_xlfn.XLOOKUP(B124,PurchaseOrders!$A:$A,PurchaseOrders!$B:$B,"Not Found")</f>
        <v>S010</v>
      </c>
    </row>
    <row r="125" spans="1:8">
      <c r="A125" t="s">
        <v>1006</v>
      </c>
      <c r="B125" t="s">
        <v>676</v>
      </c>
      <c r="C125" t="s">
        <v>190</v>
      </c>
      <c r="D125">
        <v>300</v>
      </c>
      <c r="E125">
        <v>28.45</v>
      </c>
      <c r="F125">
        <v>8535</v>
      </c>
      <c r="G125">
        <v>300</v>
      </c>
      <c r="H125" t="str">
        <f>_xlfn.XLOOKUP(B125,PurchaseOrders!$A:$A,PurchaseOrders!$B:$B,"Not Found")</f>
        <v>S002</v>
      </c>
    </row>
    <row r="126" spans="1:8">
      <c r="A126" t="s">
        <v>1007</v>
      </c>
      <c r="B126" t="s">
        <v>677</v>
      </c>
      <c r="C126" t="s">
        <v>114</v>
      </c>
      <c r="D126">
        <v>500</v>
      </c>
      <c r="E126">
        <v>8.04</v>
      </c>
      <c r="F126">
        <v>4020</v>
      </c>
      <c r="G126">
        <v>500</v>
      </c>
      <c r="H126" t="str">
        <f>_xlfn.XLOOKUP(B126,PurchaseOrders!$A:$A,PurchaseOrders!$B:$B,"Not Found")</f>
        <v>S012</v>
      </c>
    </row>
    <row r="127" spans="1:8">
      <c r="A127" t="s">
        <v>1008</v>
      </c>
      <c r="B127" t="s">
        <v>678</v>
      </c>
      <c r="C127" t="s">
        <v>68</v>
      </c>
      <c r="D127">
        <v>20</v>
      </c>
      <c r="E127">
        <v>56.74</v>
      </c>
      <c r="F127">
        <v>1134.8</v>
      </c>
      <c r="G127">
        <v>20</v>
      </c>
      <c r="H127" t="str">
        <f>_xlfn.XLOOKUP(B127,PurchaseOrders!$A:$A,PurchaseOrders!$B:$B,"Not Found")</f>
        <v>S008</v>
      </c>
    </row>
    <row r="128" spans="1:8">
      <c r="A128" t="s">
        <v>1009</v>
      </c>
      <c r="B128" t="s">
        <v>679</v>
      </c>
      <c r="C128" t="s">
        <v>122</v>
      </c>
      <c r="D128">
        <v>500</v>
      </c>
      <c r="E128">
        <v>10.07</v>
      </c>
      <c r="F128">
        <v>5035</v>
      </c>
      <c r="G128">
        <v>500</v>
      </c>
      <c r="H128" t="str">
        <f>_xlfn.XLOOKUP(B128,PurchaseOrders!$A:$A,PurchaseOrders!$B:$B,"Not Found")</f>
        <v>S019</v>
      </c>
    </row>
    <row r="129" spans="1:8">
      <c r="A129" t="s">
        <v>1010</v>
      </c>
      <c r="B129" t="s">
        <v>680</v>
      </c>
      <c r="C129" t="s">
        <v>174</v>
      </c>
      <c r="D129">
        <v>500</v>
      </c>
      <c r="E129">
        <v>56.65</v>
      </c>
      <c r="F129">
        <v>28325</v>
      </c>
      <c r="G129">
        <v>0</v>
      </c>
      <c r="H129" t="str">
        <f>_xlfn.XLOOKUP(B129,PurchaseOrders!$A:$A,PurchaseOrders!$B:$B,"Not Found")</f>
        <v>S001</v>
      </c>
    </row>
    <row r="130" spans="1:8">
      <c r="A130" t="s">
        <v>1011</v>
      </c>
      <c r="B130" t="s">
        <v>681</v>
      </c>
      <c r="C130" t="s">
        <v>128</v>
      </c>
      <c r="D130">
        <v>100</v>
      </c>
      <c r="E130">
        <v>37.94</v>
      </c>
      <c r="F130">
        <v>3794</v>
      </c>
      <c r="G130">
        <v>100</v>
      </c>
      <c r="H130" t="str">
        <f>_xlfn.XLOOKUP(B130,PurchaseOrders!$A:$A,PurchaseOrders!$B:$B,"Not Found")</f>
        <v>S016</v>
      </c>
    </row>
    <row r="131" spans="1:8">
      <c r="A131" t="s">
        <v>1012</v>
      </c>
      <c r="B131" t="s">
        <v>682</v>
      </c>
      <c r="C131" t="s">
        <v>80</v>
      </c>
      <c r="D131">
        <v>150</v>
      </c>
      <c r="E131">
        <v>60.25</v>
      </c>
      <c r="F131">
        <v>9037.5</v>
      </c>
      <c r="G131">
        <v>150</v>
      </c>
      <c r="H131" t="str">
        <f>_xlfn.XLOOKUP(B131,PurchaseOrders!$A:$A,PurchaseOrders!$B:$B,"Not Found")</f>
        <v>S008</v>
      </c>
    </row>
    <row r="132" spans="1:8">
      <c r="A132" t="s">
        <v>1013</v>
      </c>
      <c r="B132" t="s">
        <v>683</v>
      </c>
      <c r="C132" t="s">
        <v>162</v>
      </c>
      <c r="D132">
        <v>100</v>
      </c>
      <c r="E132">
        <v>94.76</v>
      </c>
      <c r="F132">
        <v>9476</v>
      </c>
      <c r="G132">
        <v>100</v>
      </c>
      <c r="H132" t="str">
        <f>_xlfn.XLOOKUP(B132,PurchaseOrders!$A:$A,PurchaseOrders!$B:$B,"Not Found")</f>
        <v>S001</v>
      </c>
    </row>
    <row r="133" spans="1:8">
      <c r="A133" t="s">
        <v>1014</v>
      </c>
      <c r="B133" t="s">
        <v>684</v>
      </c>
      <c r="C133" t="s">
        <v>202</v>
      </c>
      <c r="D133">
        <v>200</v>
      </c>
      <c r="E133">
        <v>73.77</v>
      </c>
      <c r="F133">
        <v>14754</v>
      </c>
      <c r="G133">
        <v>200</v>
      </c>
      <c r="H133" t="str">
        <f>_xlfn.XLOOKUP(B133,PurchaseOrders!$A:$A,PurchaseOrders!$B:$B,"Not Found")</f>
        <v>S003</v>
      </c>
    </row>
    <row r="134" spans="1:8">
      <c r="A134" t="s">
        <v>1015</v>
      </c>
      <c r="B134" t="s">
        <v>685</v>
      </c>
      <c r="C134" t="s">
        <v>154</v>
      </c>
      <c r="D134">
        <v>500</v>
      </c>
      <c r="E134">
        <v>72.43</v>
      </c>
      <c r="F134">
        <v>36215</v>
      </c>
      <c r="G134">
        <v>500</v>
      </c>
      <c r="H134" t="str">
        <f>_xlfn.XLOOKUP(B134,PurchaseOrders!$A:$A,PurchaseOrders!$B:$B,"Not Found")</f>
        <v>S014</v>
      </c>
    </row>
    <row r="135" spans="1:8">
      <c r="A135" t="s">
        <v>1016</v>
      </c>
      <c r="B135" t="s">
        <v>686</v>
      </c>
      <c r="C135" t="s">
        <v>170</v>
      </c>
      <c r="D135">
        <v>300</v>
      </c>
      <c r="E135">
        <v>3.8</v>
      </c>
      <c r="F135">
        <v>1140</v>
      </c>
      <c r="G135">
        <v>0</v>
      </c>
      <c r="H135" t="str">
        <f>_xlfn.XLOOKUP(B135,PurchaseOrders!$A:$A,PurchaseOrders!$B:$B,"Not Found")</f>
        <v>S018</v>
      </c>
    </row>
    <row r="136" spans="1:8">
      <c r="A136" t="s">
        <v>1017</v>
      </c>
      <c r="B136" t="s">
        <v>687</v>
      </c>
      <c r="C136" t="s">
        <v>124</v>
      </c>
      <c r="D136">
        <v>150</v>
      </c>
      <c r="E136">
        <v>89.1</v>
      </c>
      <c r="F136">
        <v>13365</v>
      </c>
      <c r="G136">
        <v>38</v>
      </c>
      <c r="H136" t="str">
        <f>_xlfn.XLOOKUP(B136,PurchaseOrders!$A:$A,PurchaseOrders!$B:$B,"Not Found")</f>
        <v>S011</v>
      </c>
    </row>
    <row r="137" spans="1:8">
      <c r="A137" t="s">
        <v>1018</v>
      </c>
      <c r="B137" t="s">
        <v>688</v>
      </c>
      <c r="C137" t="s">
        <v>100</v>
      </c>
      <c r="D137">
        <v>50</v>
      </c>
      <c r="E137">
        <v>109.36</v>
      </c>
      <c r="F137">
        <v>5468</v>
      </c>
      <c r="G137">
        <v>22</v>
      </c>
      <c r="H137" t="str">
        <f>_xlfn.XLOOKUP(B137,PurchaseOrders!$A:$A,PurchaseOrders!$B:$B,"Not Found")</f>
        <v>S009</v>
      </c>
    </row>
    <row r="138" spans="1:8">
      <c r="A138" t="s">
        <v>1019</v>
      </c>
      <c r="B138" t="s">
        <v>689</v>
      </c>
      <c r="C138" t="s">
        <v>210</v>
      </c>
      <c r="D138">
        <v>500</v>
      </c>
      <c r="E138">
        <v>83.66</v>
      </c>
      <c r="F138">
        <v>41830</v>
      </c>
      <c r="G138">
        <v>255</v>
      </c>
      <c r="H138" t="str">
        <f>_xlfn.XLOOKUP(B138,PurchaseOrders!$A:$A,PurchaseOrders!$B:$B,"Not Found")</f>
        <v>S020</v>
      </c>
    </row>
    <row r="139" spans="1:8">
      <c r="A139" t="s">
        <v>1020</v>
      </c>
      <c r="B139" t="s">
        <v>690</v>
      </c>
      <c r="C139" t="s">
        <v>186</v>
      </c>
      <c r="D139">
        <v>150</v>
      </c>
      <c r="E139">
        <v>24.53</v>
      </c>
      <c r="F139">
        <v>3679.5</v>
      </c>
      <c r="G139">
        <v>0</v>
      </c>
      <c r="H139" t="str">
        <f>_xlfn.XLOOKUP(B139,PurchaseOrders!$A:$A,PurchaseOrders!$B:$B,"Not Found")</f>
        <v>S016</v>
      </c>
    </row>
    <row r="140" spans="1:8">
      <c r="A140" t="s">
        <v>1021</v>
      </c>
      <c r="B140" t="s">
        <v>691</v>
      </c>
      <c r="C140" t="s">
        <v>142</v>
      </c>
      <c r="D140">
        <v>200</v>
      </c>
      <c r="E140">
        <v>40.98</v>
      </c>
      <c r="F140">
        <v>8196</v>
      </c>
      <c r="G140">
        <v>200</v>
      </c>
      <c r="H140" t="str">
        <f>_xlfn.XLOOKUP(B140,PurchaseOrders!$A:$A,PurchaseOrders!$B:$B,"Not Found")</f>
        <v>S001</v>
      </c>
    </row>
    <row r="141" spans="1:8">
      <c r="A141" t="s">
        <v>1022</v>
      </c>
      <c r="B141" t="s">
        <v>692</v>
      </c>
      <c r="C141" t="s">
        <v>68</v>
      </c>
      <c r="D141">
        <v>500</v>
      </c>
      <c r="E141">
        <v>53.99</v>
      </c>
      <c r="F141">
        <v>26995</v>
      </c>
      <c r="G141">
        <v>0</v>
      </c>
      <c r="H141" t="str">
        <f>_xlfn.XLOOKUP(B141,PurchaseOrders!$A:$A,PurchaseOrders!$B:$B,"Not Found")</f>
        <v>S017</v>
      </c>
    </row>
    <row r="142" spans="1:8">
      <c r="A142" t="s">
        <v>1023</v>
      </c>
      <c r="B142" t="s">
        <v>693</v>
      </c>
      <c r="C142" t="s">
        <v>80</v>
      </c>
      <c r="D142">
        <v>20</v>
      </c>
      <c r="E142">
        <v>48.16</v>
      </c>
      <c r="F142">
        <v>963.2</v>
      </c>
      <c r="G142">
        <v>14</v>
      </c>
      <c r="H142" t="str">
        <f>_xlfn.XLOOKUP(B142,PurchaseOrders!$A:$A,PurchaseOrders!$B:$B,"Not Found")</f>
        <v>S004</v>
      </c>
    </row>
    <row r="143" spans="1:8">
      <c r="A143" t="s">
        <v>1024</v>
      </c>
      <c r="B143" t="s">
        <v>694</v>
      </c>
      <c r="C143" t="s">
        <v>100</v>
      </c>
      <c r="D143">
        <v>100</v>
      </c>
      <c r="E143">
        <v>91.65</v>
      </c>
      <c r="F143">
        <v>9165</v>
      </c>
      <c r="G143">
        <v>100</v>
      </c>
      <c r="H143" t="str">
        <f>_xlfn.XLOOKUP(B143,PurchaseOrders!$A:$A,PurchaseOrders!$B:$B,"Not Found")</f>
        <v>S001</v>
      </c>
    </row>
    <row r="144" spans="1:8">
      <c r="A144" t="s">
        <v>1025</v>
      </c>
      <c r="B144" t="s">
        <v>695</v>
      </c>
      <c r="C144" t="s">
        <v>104</v>
      </c>
      <c r="D144">
        <v>150</v>
      </c>
      <c r="E144">
        <v>68</v>
      </c>
      <c r="F144">
        <v>10200</v>
      </c>
      <c r="G144">
        <v>150</v>
      </c>
      <c r="H144" t="str">
        <f>_xlfn.XLOOKUP(B144,PurchaseOrders!$A:$A,PurchaseOrders!$B:$B,"Not Found")</f>
        <v>S010</v>
      </c>
    </row>
    <row r="145" spans="1:8">
      <c r="A145" t="s">
        <v>1026</v>
      </c>
      <c r="B145" t="s">
        <v>696</v>
      </c>
      <c r="C145" t="s">
        <v>90</v>
      </c>
      <c r="D145">
        <v>200</v>
      </c>
      <c r="E145">
        <v>76.51</v>
      </c>
      <c r="F145">
        <v>15302</v>
      </c>
      <c r="G145">
        <v>200</v>
      </c>
      <c r="H145" t="str">
        <f>_xlfn.XLOOKUP(B145,PurchaseOrders!$A:$A,PurchaseOrders!$B:$B,"Not Found")</f>
        <v>S007</v>
      </c>
    </row>
    <row r="146" spans="1:8">
      <c r="A146" t="s">
        <v>1027</v>
      </c>
      <c r="B146" t="s">
        <v>697</v>
      </c>
      <c r="C146" t="s">
        <v>150</v>
      </c>
      <c r="D146">
        <v>20</v>
      </c>
      <c r="E146">
        <v>68.71</v>
      </c>
      <c r="F146">
        <v>1374.2</v>
      </c>
      <c r="G146">
        <v>20</v>
      </c>
      <c r="H146" t="str">
        <f>_xlfn.XLOOKUP(B146,PurchaseOrders!$A:$A,PurchaseOrders!$B:$B,"Not Found")</f>
        <v>S001</v>
      </c>
    </row>
    <row r="147" spans="1:8">
      <c r="A147" t="s">
        <v>1028</v>
      </c>
      <c r="B147" t="s">
        <v>698</v>
      </c>
      <c r="C147" t="s">
        <v>170</v>
      </c>
      <c r="D147">
        <v>20</v>
      </c>
      <c r="E147">
        <v>3.8</v>
      </c>
      <c r="F147">
        <v>76</v>
      </c>
      <c r="G147">
        <v>9</v>
      </c>
      <c r="H147" t="str">
        <f>_xlfn.XLOOKUP(B147,PurchaseOrders!$A:$A,PurchaseOrders!$B:$B,"Not Found")</f>
        <v>S018</v>
      </c>
    </row>
    <row r="148" spans="1:8">
      <c r="A148" t="s">
        <v>1029</v>
      </c>
      <c r="B148" t="s">
        <v>699</v>
      </c>
      <c r="C148" t="s">
        <v>106</v>
      </c>
      <c r="D148">
        <v>150</v>
      </c>
      <c r="E148">
        <v>71.93</v>
      </c>
      <c r="F148">
        <v>10789.5</v>
      </c>
      <c r="G148">
        <v>0</v>
      </c>
      <c r="H148" t="str">
        <f>_xlfn.XLOOKUP(B148,PurchaseOrders!$A:$A,PurchaseOrders!$B:$B,"Not Found")</f>
        <v>S010</v>
      </c>
    </row>
    <row r="149" spans="1:8">
      <c r="A149" t="s">
        <v>1030</v>
      </c>
      <c r="B149" t="s">
        <v>700</v>
      </c>
      <c r="C149" t="s">
        <v>104</v>
      </c>
      <c r="D149">
        <v>500</v>
      </c>
      <c r="E149">
        <v>68.97</v>
      </c>
      <c r="F149">
        <v>34485</v>
      </c>
      <c r="G149">
        <v>312</v>
      </c>
      <c r="H149" t="str">
        <f>_xlfn.XLOOKUP(B149,PurchaseOrders!$A:$A,PurchaseOrders!$B:$B,"Not Found")</f>
        <v>S019</v>
      </c>
    </row>
    <row r="150" spans="1:8">
      <c r="A150" t="s">
        <v>1031</v>
      </c>
      <c r="B150" t="s">
        <v>701</v>
      </c>
      <c r="C150" t="s">
        <v>106</v>
      </c>
      <c r="D150">
        <v>50</v>
      </c>
      <c r="E150">
        <v>85.78</v>
      </c>
      <c r="F150">
        <v>4289</v>
      </c>
      <c r="G150">
        <v>16</v>
      </c>
      <c r="H150" t="str">
        <f>_xlfn.XLOOKUP(B150,PurchaseOrders!$A:$A,PurchaseOrders!$B:$B,"Not Found")</f>
        <v>S005</v>
      </c>
    </row>
    <row r="151" spans="1:8">
      <c r="A151" t="s">
        <v>1032</v>
      </c>
      <c r="B151" t="s">
        <v>702</v>
      </c>
      <c r="C151" t="s">
        <v>156</v>
      </c>
      <c r="D151">
        <v>500</v>
      </c>
      <c r="E151">
        <v>21.45</v>
      </c>
      <c r="F151">
        <v>10725</v>
      </c>
      <c r="G151">
        <v>500</v>
      </c>
      <c r="H151" t="str">
        <f>_xlfn.XLOOKUP(B151,PurchaseOrders!$A:$A,PurchaseOrders!$B:$B,"Not Found")</f>
        <v>S001</v>
      </c>
    </row>
    <row r="152" spans="1:8">
      <c r="A152" t="s">
        <v>1033</v>
      </c>
      <c r="B152" t="s">
        <v>703</v>
      </c>
      <c r="C152" t="s">
        <v>90</v>
      </c>
      <c r="D152">
        <v>50</v>
      </c>
      <c r="E152">
        <v>76.51</v>
      </c>
      <c r="F152">
        <v>3825.5</v>
      </c>
      <c r="G152">
        <v>11</v>
      </c>
      <c r="H152" t="str">
        <f>_xlfn.XLOOKUP(B152,PurchaseOrders!$A:$A,PurchaseOrders!$B:$B,"Not Found")</f>
        <v>S007</v>
      </c>
    </row>
    <row r="153" spans="1:8">
      <c r="A153" t="s">
        <v>1034</v>
      </c>
      <c r="B153" t="s">
        <v>704</v>
      </c>
      <c r="C153" t="s">
        <v>228</v>
      </c>
      <c r="D153">
        <v>300</v>
      </c>
      <c r="E153">
        <v>68.79</v>
      </c>
      <c r="F153">
        <v>20637</v>
      </c>
      <c r="G153">
        <v>0</v>
      </c>
      <c r="H153" t="str">
        <f>_xlfn.XLOOKUP(B153,PurchaseOrders!$A:$A,PurchaseOrders!$B:$B,"Not Found")</f>
        <v>S013</v>
      </c>
    </row>
    <row r="154" spans="1:8">
      <c r="A154" t="s">
        <v>1035</v>
      </c>
      <c r="B154" t="s">
        <v>705</v>
      </c>
      <c r="C154" t="s">
        <v>110</v>
      </c>
      <c r="D154">
        <v>500</v>
      </c>
      <c r="E154">
        <v>80.34</v>
      </c>
      <c r="F154">
        <v>40170</v>
      </c>
      <c r="G154">
        <v>500</v>
      </c>
      <c r="H154" t="str">
        <f>_xlfn.XLOOKUP(B154,PurchaseOrders!$A:$A,PurchaseOrders!$B:$B,"Not Found")</f>
        <v>S010</v>
      </c>
    </row>
    <row r="155" spans="1:8">
      <c r="A155" t="s">
        <v>1036</v>
      </c>
      <c r="B155" t="s">
        <v>706</v>
      </c>
      <c r="C155" t="s">
        <v>204</v>
      </c>
      <c r="D155">
        <v>300</v>
      </c>
      <c r="E155">
        <v>5.09</v>
      </c>
      <c r="F155">
        <v>1527</v>
      </c>
      <c r="G155">
        <v>0</v>
      </c>
      <c r="H155" t="str">
        <f>_xlfn.XLOOKUP(B155,PurchaseOrders!$A:$A,PurchaseOrders!$B:$B,"Not Found")</f>
        <v>S008</v>
      </c>
    </row>
    <row r="156" spans="1:8">
      <c r="A156" t="s">
        <v>1037</v>
      </c>
      <c r="B156" t="s">
        <v>707</v>
      </c>
      <c r="C156" t="s">
        <v>216</v>
      </c>
      <c r="D156">
        <v>150</v>
      </c>
      <c r="E156">
        <v>87.81</v>
      </c>
      <c r="F156">
        <v>13171.5</v>
      </c>
      <c r="G156">
        <v>0</v>
      </c>
      <c r="H156" t="str">
        <f>_xlfn.XLOOKUP(B156,PurchaseOrders!$A:$A,PurchaseOrders!$B:$B,"Not Found")</f>
        <v>S018</v>
      </c>
    </row>
    <row r="157" spans="1:8">
      <c r="A157" t="s">
        <v>1038</v>
      </c>
      <c r="B157" t="s">
        <v>708</v>
      </c>
      <c r="C157" t="s">
        <v>194</v>
      </c>
      <c r="D157">
        <v>500</v>
      </c>
      <c r="E157">
        <v>11.25</v>
      </c>
      <c r="F157">
        <v>5625</v>
      </c>
      <c r="G157">
        <v>500</v>
      </c>
      <c r="H157" t="str">
        <f>_xlfn.XLOOKUP(B157,PurchaseOrders!$A:$A,PurchaseOrders!$B:$B,"Not Found")</f>
        <v>S017</v>
      </c>
    </row>
    <row r="158" spans="1:8">
      <c r="A158" t="s">
        <v>1039</v>
      </c>
      <c r="B158" t="s">
        <v>709</v>
      </c>
      <c r="C158" t="s">
        <v>218</v>
      </c>
      <c r="D158">
        <v>50</v>
      </c>
      <c r="E158">
        <v>52.2</v>
      </c>
      <c r="F158">
        <v>2610</v>
      </c>
      <c r="G158">
        <v>0</v>
      </c>
      <c r="H158" t="str">
        <f>_xlfn.XLOOKUP(B158,PurchaseOrders!$A:$A,PurchaseOrders!$B:$B,"Not Found")</f>
        <v>S003</v>
      </c>
    </row>
    <row r="159" spans="1:8">
      <c r="A159" t="s">
        <v>1040</v>
      </c>
      <c r="B159" t="s">
        <v>710</v>
      </c>
      <c r="C159" t="s">
        <v>208</v>
      </c>
      <c r="D159">
        <v>20</v>
      </c>
      <c r="E159">
        <v>29.71</v>
      </c>
      <c r="F159">
        <v>594.2</v>
      </c>
      <c r="G159">
        <v>13</v>
      </c>
      <c r="H159" t="str">
        <f>_xlfn.XLOOKUP(B159,PurchaseOrders!$A:$A,PurchaseOrders!$B:$B,"Not Found")</f>
        <v>S011</v>
      </c>
    </row>
    <row r="160" spans="1:8">
      <c r="A160" t="s">
        <v>1041</v>
      </c>
      <c r="B160" t="s">
        <v>711</v>
      </c>
      <c r="C160" t="s">
        <v>108</v>
      </c>
      <c r="D160">
        <v>200</v>
      </c>
      <c r="E160">
        <v>75.18</v>
      </c>
      <c r="F160">
        <v>15036</v>
      </c>
      <c r="G160">
        <v>200</v>
      </c>
      <c r="H160" t="str">
        <f>_xlfn.XLOOKUP(B160,PurchaseOrders!$A:$A,PurchaseOrders!$B:$B,"Not Found")</f>
        <v>S007</v>
      </c>
    </row>
    <row r="161" spans="1:8">
      <c r="A161" t="s">
        <v>1042</v>
      </c>
      <c r="B161" t="s">
        <v>712</v>
      </c>
      <c r="C161" t="s">
        <v>188</v>
      </c>
      <c r="D161">
        <v>100</v>
      </c>
      <c r="E161">
        <v>51.04</v>
      </c>
      <c r="F161">
        <v>5104</v>
      </c>
      <c r="G161">
        <v>100</v>
      </c>
      <c r="H161" t="str">
        <f>_xlfn.XLOOKUP(B161,PurchaseOrders!$A:$A,PurchaseOrders!$B:$B,"Not Found")</f>
        <v>S001</v>
      </c>
    </row>
    <row r="162" spans="1:8">
      <c r="A162" t="s">
        <v>1043</v>
      </c>
      <c r="B162" t="s">
        <v>713</v>
      </c>
      <c r="C162" t="s">
        <v>110</v>
      </c>
      <c r="D162">
        <v>300</v>
      </c>
      <c r="E162">
        <v>80.34</v>
      </c>
      <c r="F162">
        <v>24102</v>
      </c>
      <c r="G162">
        <v>300</v>
      </c>
      <c r="H162" t="str">
        <f>_xlfn.XLOOKUP(B162,PurchaseOrders!$A:$A,PurchaseOrders!$B:$B,"Not Found")</f>
        <v>S010</v>
      </c>
    </row>
    <row r="163" spans="1:8">
      <c r="A163" t="s">
        <v>1044</v>
      </c>
      <c r="B163" t="s">
        <v>714</v>
      </c>
      <c r="C163" t="s">
        <v>176</v>
      </c>
      <c r="D163">
        <v>150</v>
      </c>
      <c r="E163">
        <v>34.04</v>
      </c>
      <c r="F163">
        <v>5106</v>
      </c>
      <c r="G163">
        <v>53</v>
      </c>
      <c r="H163" t="str">
        <f>_xlfn.XLOOKUP(B163,PurchaseOrders!$A:$A,PurchaseOrders!$B:$B,"Not Found")</f>
        <v>S007</v>
      </c>
    </row>
    <row r="164" spans="1:8">
      <c r="A164" t="s">
        <v>1045</v>
      </c>
      <c r="B164" t="s">
        <v>715</v>
      </c>
      <c r="C164" t="s">
        <v>74</v>
      </c>
      <c r="D164">
        <v>300</v>
      </c>
      <c r="E164">
        <v>27.46</v>
      </c>
      <c r="F164">
        <v>8238</v>
      </c>
      <c r="G164">
        <v>171</v>
      </c>
      <c r="H164" t="str">
        <f>_xlfn.XLOOKUP(B164,PurchaseOrders!$A:$A,PurchaseOrders!$B:$B,"Not Found")</f>
        <v>S009</v>
      </c>
    </row>
    <row r="165" spans="1:8">
      <c r="A165" t="s">
        <v>1046</v>
      </c>
      <c r="B165" t="s">
        <v>716</v>
      </c>
      <c r="C165" t="s">
        <v>96</v>
      </c>
      <c r="D165">
        <v>100</v>
      </c>
      <c r="E165">
        <v>96.12</v>
      </c>
      <c r="F165">
        <v>9612</v>
      </c>
      <c r="G165">
        <v>100</v>
      </c>
      <c r="H165" t="str">
        <f>_xlfn.XLOOKUP(B165,PurchaseOrders!$A:$A,PurchaseOrders!$B:$B,"Not Found")</f>
        <v>S018</v>
      </c>
    </row>
    <row r="166" spans="1:8">
      <c r="A166" t="s">
        <v>1047</v>
      </c>
      <c r="B166" t="s">
        <v>717</v>
      </c>
      <c r="C166" t="s">
        <v>228</v>
      </c>
      <c r="D166">
        <v>100</v>
      </c>
      <c r="E166">
        <v>68.79</v>
      </c>
      <c r="F166">
        <v>6879</v>
      </c>
      <c r="G166">
        <v>100</v>
      </c>
      <c r="H166" t="str">
        <f>_xlfn.XLOOKUP(B166,PurchaseOrders!$A:$A,PurchaseOrders!$B:$B,"Not Found")</f>
        <v>S013</v>
      </c>
    </row>
    <row r="167" spans="1:8">
      <c r="A167" t="s">
        <v>1048</v>
      </c>
      <c r="B167" t="s">
        <v>718</v>
      </c>
      <c r="C167" t="s">
        <v>146</v>
      </c>
      <c r="D167">
        <v>500</v>
      </c>
      <c r="E167">
        <v>29.74</v>
      </c>
      <c r="F167">
        <v>14870</v>
      </c>
      <c r="G167">
        <v>500</v>
      </c>
      <c r="H167" t="str">
        <f>_xlfn.XLOOKUP(B167,PurchaseOrders!$A:$A,PurchaseOrders!$B:$B,"Not Found")</f>
        <v>S010</v>
      </c>
    </row>
    <row r="168" spans="1:8">
      <c r="A168" t="s">
        <v>1049</v>
      </c>
      <c r="B168" t="s">
        <v>719</v>
      </c>
      <c r="C168" t="s">
        <v>202</v>
      </c>
      <c r="D168">
        <v>100</v>
      </c>
      <c r="E168">
        <v>55.39</v>
      </c>
      <c r="F168">
        <v>5539</v>
      </c>
      <c r="G168">
        <v>100</v>
      </c>
      <c r="H168" t="str">
        <f>_xlfn.XLOOKUP(B168,PurchaseOrders!$A:$A,PurchaseOrders!$B:$B,"Not Found")</f>
        <v>S013</v>
      </c>
    </row>
    <row r="169" spans="1:8">
      <c r="A169" t="s">
        <v>1050</v>
      </c>
      <c r="B169" t="s">
        <v>720</v>
      </c>
      <c r="C169" t="s">
        <v>180</v>
      </c>
      <c r="D169">
        <v>20</v>
      </c>
      <c r="E169">
        <v>104.35</v>
      </c>
      <c r="F169">
        <v>2087</v>
      </c>
      <c r="G169">
        <v>0</v>
      </c>
      <c r="H169" t="str">
        <f>_xlfn.XLOOKUP(B169,PurchaseOrders!$A:$A,PurchaseOrders!$B:$B,"Not Found")</f>
        <v>S012</v>
      </c>
    </row>
    <row r="170" spans="1:8">
      <c r="A170" t="s">
        <v>1051</v>
      </c>
      <c r="B170" t="s">
        <v>721</v>
      </c>
      <c r="C170" t="s">
        <v>90</v>
      </c>
      <c r="D170">
        <v>500</v>
      </c>
      <c r="E170">
        <v>64.03</v>
      </c>
      <c r="F170">
        <v>32015</v>
      </c>
      <c r="G170">
        <v>0</v>
      </c>
      <c r="H170" t="str">
        <f>_xlfn.XLOOKUP(B170,PurchaseOrders!$A:$A,PurchaseOrders!$B:$B,"Not Found")</f>
        <v>S011</v>
      </c>
    </row>
    <row r="171" spans="1:8">
      <c r="A171" t="s">
        <v>1052</v>
      </c>
      <c r="B171" t="s">
        <v>722</v>
      </c>
      <c r="C171" t="s">
        <v>80</v>
      </c>
      <c r="D171">
        <v>200</v>
      </c>
      <c r="E171">
        <v>57.37</v>
      </c>
      <c r="F171">
        <v>11474</v>
      </c>
      <c r="G171">
        <v>0</v>
      </c>
      <c r="H171" t="str">
        <f>_xlfn.XLOOKUP(B171,PurchaseOrders!$A:$A,PurchaseOrders!$B:$B,"Not Found")</f>
        <v>S020</v>
      </c>
    </row>
    <row r="172" spans="1:8">
      <c r="A172" t="s">
        <v>1053</v>
      </c>
      <c r="B172" t="s">
        <v>723</v>
      </c>
      <c r="C172" t="s">
        <v>212</v>
      </c>
      <c r="D172">
        <v>50</v>
      </c>
      <c r="E172">
        <v>42.77</v>
      </c>
      <c r="F172">
        <v>2138.5</v>
      </c>
      <c r="G172">
        <v>28</v>
      </c>
      <c r="H172" t="str">
        <f>_xlfn.XLOOKUP(B172,PurchaseOrders!$A:$A,PurchaseOrders!$B:$B,"Not Found")</f>
        <v>S007</v>
      </c>
    </row>
    <row r="173" spans="1:8">
      <c r="A173" t="s">
        <v>1054</v>
      </c>
      <c r="B173" t="s">
        <v>724</v>
      </c>
      <c r="C173" t="s">
        <v>110</v>
      </c>
      <c r="D173">
        <v>300</v>
      </c>
      <c r="E173">
        <v>102.78</v>
      </c>
      <c r="F173">
        <v>30834</v>
      </c>
      <c r="G173">
        <v>300</v>
      </c>
      <c r="H173" t="str">
        <f>_xlfn.XLOOKUP(B173,PurchaseOrders!$A:$A,PurchaseOrders!$B:$B,"Not Found")</f>
        <v>S011</v>
      </c>
    </row>
    <row r="174" spans="1:8">
      <c r="A174" t="s">
        <v>1055</v>
      </c>
      <c r="B174" t="s">
        <v>725</v>
      </c>
      <c r="C174" t="s">
        <v>130</v>
      </c>
      <c r="D174">
        <v>20</v>
      </c>
      <c r="E174">
        <v>50.77</v>
      </c>
      <c r="F174">
        <v>1015.4</v>
      </c>
      <c r="G174">
        <v>20</v>
      </c>
      <c r="H174" t="str">
        <f>_xlfn.XLOOKUP(B174,PurchaseOrders!$A:$A,PurchaseOrders!$B:$B,"Not Found")</f>
        <v>S005</v>
      </c>
    </row>
    <row r="175" spans="1:8">
      <c r="A175" t="s">
        <v>1056</v>
      </c>
      <c r="B175" t="s">
        <v>726</v>
      </c>
      <c r="C175" t="s">
        <v>190</v>
      </c>
      <c r="D175">
        <v>150</v>
      </c>
      <c r="E175">
        <v>28.45</v>
      </c>
      <c r="F175">
        <v>4267.5</v>
      </c>
      <c r="G175">
        <v>0</v>
      </c>
      <c r="H175" t="str">
        <f>_xlfn.XLOOKUP(B175,PurchaseOrders!$A:$A,PurchaseOrders!$B:$B,"Not Found")</f>
        <v>S002</v>
      </c>
    </row>
    <row r="176" spans="1:8">
      <c r="A176" t="s">
        <v>1057</v>
      </c>
      <c r="B176" t="s">
        <v>727</v>
      </c>
      <c r="C176" t="s">
        <v>68</v>
      </c>
      <c r="D176">
        <v>300</v>
      </c>
      <c r="E176">
        <v>56.74</v>
      </c>
      <c r="F176">
        <v>17022</v>
      </c>
      <c r="G176">
        <v>300</v>
      </c>
      <c r="H176" t="str">
        <f>_xlfn.XLOOKUP(B176,PurchaseOrders!$A:$A,PurchaseOrders!$B:$B,"Not Found")</f>
        <v>S008</v>
      </c>
    </row>
    <row r="177" spans="1:8">
      <c r="A177" t="s">
        <v>1058</v>
      </c>
      <c r="B177" t="s">
        <v>728</v>
      </c>
      <c r="C177" t="s">
        <v>180</v>
      </c>
      <c r="D177">
        <v>300</v>
      </c>
      <c r="E177">
        <v>104.35</v>
      </c>
      <c r="F177">
        <v>31305</v>
      </c>
      <c r="G177">
        <v>300</v>
      </c>
      <c r="H177" t="str">
        <f>_xlfn.XLOOKUP(B177,PurchaseOrders!$A:$A,PurchaseOrders!$B:$B,"Not Found")</f>
        <v>S012</v>
      </c>
    </row>
    <row r="178" spans="1:8">
      <c r="A178" t="s">
        <v>1059</v>
      </c>
      <c r="B178" t="s">
        <v>729</v>
      </c>
      <c r="C178" t="s">
        <v>156</v>
      </c>
      <c r="D178">
        <v>20</v>
      </c>
      <c r="E178">
        <v>19.22</v>
      </c>
      <c r="F178">
        <v>384.4</v>
      </c>
      <c r="G178">
        <v>12</v>
      </c>
      <c r="H178" t="str">
        <f>_xlfn.XLOOKUP(B178,PurchaseOrders!$A:$A,PurchaseOrders!$B:$B,"Not Found")</f>
        <v>S014</v>
      </c>
    </row>
    <row r="179" spans="1:8">
      <c r="A179" t="s">
        <v>1060</v>
      </c>
      <c r="B179" t="s">
        <v>730</v>
      </c>
      <c r="C179" t="s">
        <v>90</v>
      </c>
      <c r="D179">
        <v>200</v>
      </c>
      <c r="E179">
        <v>76.51</v>
      </c>
      <c r="F179">
        <v>15302</v>
      </c>
      <c r="G179">
        <v>113</v>
      </c>
      <c r="H179" t="str">
        <f>_xlfn.XLOOKUP(B179,PurchaseOrders!$A:$A,PurchaseOrders!$B:$B,"Not Found")</f>
        <v>S007</v>
      </c>
    </row>
    <row r="180" spans="1:8">
      <c r="A180" t="s">
        <v>1061</v>
      </c>
      <c r="B180" t="s">
        <v>731</v>
      </c>
      <c r="C180" t="s">
        <v>172</v>
      </c>
      <c r="D180">
        <v>200</v>
      </c>
      <c r="E180">
        <v>3.6</v>
      </c>
      <c r="F180">
        <v>720</v>
      </c>
      <c r="G180">
        <v>0</v>
      </c>
      <c r="H180" t="str">
        <f>_xlfn.XLOOKUP(B180,PurchaseOrders!$A:$A,PurchaseOrders!$B:$B,"Not Found")</f>
        <v>S009</v>
      </c>
    </row>
    <row r="181" spans="1:8">
      <c r="A181" t="s">
        <v>1062</v>
      </c>
      <c r="B181" t="s">
        <v>732</v>
      </c>
      <c r="C181" t="s">
        <v>192</v>
      </c>
      <c r="D181">
        <v>50</v>
      </c>
      <c r="E181">
        <v>50.62</v>
      </c>
      <c r="F181">
        <v>2531</v>
      </c>
      <c r="G181">
        <v>50</v>
      </c>
      <c r="H181" t="str">
        <f>_xlfn.XLOOKUP(B181,PurchaseOrders!$A:$A,PurchaseOrders!$B:$B,"Not Found")</f>
        <v>S012</v>
      </c>
    </row>
    <row r="182" spans="1:8">
      <c r="A182" t="s">
        <v>1063</v>
      </c>
      <c r="B182" t="s">
        <v>733</v>
      </c>
      <c r="C182" t="s">
        <v>192</v>
      </c>
      <c r="D182">
        <v>200</v>
      </c>
      <c r="E182">
        <v>55.29</v>
      </c>
      <c r="F182">
        <v>11058</v>
      </c>
      <c r="G182">
        <v>200</v>
      </c>
      <c r="H182" t="str">
        <f>_xlfn.XLOOKUP(B182,PurchaseOrders!$A:$A,PurchaseOrders!$B:$B,"Not Found")</f>
        <v>S020</v>
      </c>
    </row>
    <row r="183" spans="1:8">
      <c r="A183" t="s">
        <v>1064</v>
      </c>
      <c r="B183" t="s">
        <v>734</v>
      </c>
      <c r="C183" t="s">
        <v>102</v>
      </c>
      <c r="D183">
        <v>300</v>
      </c>
      <c r="E183">
        <v>68.53</v>
      </c>
      <c r="F183">
        <v>20559</v>
      </c>
      <c r="G183">
        <v>300</v>
      </c>
      <c r="H183" t="str">
        <f>_xlfn.XLOOKUP(B183,PurchaseOrders!$A:$A,PurchaseOrders!$B:$B,"Not Found")</f>
        <v>S002</v>
      </c>
    </row>
    <row r="184" spans="1:8">
      <c r="A184" t="s">
        <v>1065</v>
      </c>
      <c r="B184" t="s">
        <v>735</v>
      </c>
      <c r="C184" t="s">
        <v>192</v>
      </c>
      <c r="D184">
        <v>300</v>
      </c>
      <c r="E184">
        <v>55.29</v>
      </c>
      <c r="F184">
        <v>16587</v>
      </c>
      <c r="G184">
        <v>300</v>
      </c>
      <c r="H184" t="str">
        <f>_xlfn.XLOOKUP(B184,PurchaseOrders!$A:$A,PurchaseOrders!$B:$B,"Not Found")</f>
        <v>S020</v>
      </c>
    </row>
    <row r="185" spans="1:8">
      <c r="A185" t="s">
        <v>1066</v>
      </c>
      <c r="B185" t="s">
        <v>736</v>
      </c>
      <c r="C185" t="s">
        <v>182</v>
      </c>
      <c r="D185">
        <v>20</v>
      </c>
      <c r="E185">
        <v>47.93</v>
      </c>
      <c r="F185">
        <v>958.6</v>
      </c>
      <c r="G185">
        <v>0</v>
      </c>
      <c r="H185" t="str">
        <f>_xlfn.XLOOKUP(B185,PurchaseOrders!$A:$A,PurchaseOrders!$B:$B,"Not Found")</f>
        <v>S005</v>
      </c>
    </row>
    <row r="186" spans="1:8">
      <c r="A186" t="s">
        <v>1067</v>
      </c>
      <c r="B186" t="s">
        <v>737</v>
      </c>
      <c r="C186" t="s">
        <v>98</v>
      </c>
      <c r="D186">
        <v>100</v>
      </c>
      <c r="E186">
        <v>33.43</v>
      </c>
      <c r="F186">
        <v>3343</v>
      </c>
      <c r="G186">
        <v>100</v>
      </c>
      <c r="H186" t="str">
        <f>_xlfn.XLOOKUP(B186,PurchaseOrders!$A:$A,PurchaseOrders!$B:$B,"Not Found")</f>
        <v>S002</v>
      </c>
    </row>
    <row r="187" spans="1:8">
      <c r="A187" t="s">
        <v>1068</v>
      </c>
      <c r="B187" t="s">
        <v>738</v>
      </c>
      <c r="C187" t="s">
        <v>102</v>
      </c>
      <c r="D187">
        <v>500</v>
      </c>
      <c r="E187">
        <v>88.09</v>
      </c>
      <c r="F187">
        <v>44045</v>
      </c>
      <c r="G187">
        <v>0</v>
      </c>
      <c r="H187" t="str">
        <f>_xlfn.XLOOKUP(B187,PurchaseOrders!$A:$A,PurchaseOrders!$B:$B,"Not Found")</f>
        <v>S010</v>
      </c>
    </row>
    <row r="188" spans="1:8">
      <c r="A188" t="s">
        <v>1069</v>
      </c>
      <c r="B188" t="s">
        <v>739</v>
      </c>
      <c r="C188" t="s">
        <v>158</v>
      </c>
      <c r="D188">
        <v>50</v>
      </c>
      <c r="E188">
        <v>71.81</v>
      </c>
      <c r="F188">
        <v>3590.5</v>
      </c>
      <c r="G188">
        <v>50</v>
      </c>
      <c r="H188" t="str">
        <f>_xlfn.XLOOKUP(B188,PurchaseOrders!$A:$A,PurchaseOrders!$B:$B,"Not Found")</f>
        <v>S007</v>
      </c>
    </row>
    <row r="189" spans="1:8">
      <c r="A189" t="s">
        <v>1070</v>
      </c>
      <c r="B189" t="s">
        <v>740</v>
      </c>
      <c r="C189" t="s">
        <v>124</v>
      </c>
      <c r="D189">
        <v>300</v>
      </c>
      <c r="E189">
        <v>79.81</v>
      </c>
      <c r="F189">
        <v>23943</v>
      </c>
      <c r="G189">
        <v>300</v>
      </c>
      <c r="H189" t="str">
        <f>_xlfn.XLOOKUP(B189,PurchaseOrders!$A:$A,PurchaseOrders!$B:$B,"Not Found")</f>
        <v>S013</v>
      </c>
    </row>
    <row r="190" spans="1:8">
      <c r="A190" t="s">
        <v>1071</v>
      </c>
      <c r="B190" t="s">
        <v>741</v>
      </c>
      <c r="C190" t="s">
        <v>132</v>
      </c>
      <c r="D190">
        <v>200</v>
      </c>
      <c r="E190">
        <v>44.38</v>
      </c>
      <c r="F190">
        <v>8876</v>
      </c>
      <c r="G190">
        <v>200</v>
      </c>
      <c r="H190" t="str">
        <f>_xlfn.XLOOKUP(B190,PurchaseOrders!$A:$A,PurchaseOrders!$B:$B,"Not Found")</f>
        <v>S020</v>
      </c>
    </row>
    <row r="191" spans="1:8">
      <c r="A191" t="s">
        <v>1072</v>
      </c>
      <c r="B191" t="s">
        <v>742</v>
      </c>
      <c r="C191" t="s">
        <v>98</v>
      </c>
      <c r="D191">
        <v>200</v>
      </c>
      <c r="E191">
        <v>33.43</v>
      </c>
      <c r="F191">
        <v>6686</v>
      </c>
      <c r="G191">
        <v>200</v>
      </c>
      <c r="H191" t="str">
        <f>_xlfn.XLOOKUP(B191,PurchaseOrders!$A:$A,PurchaseOrders!$B:$B,"Not Found")</f>
        <v>S002</v>
      </c>
    </row>
    <row r="192" spans="1:8">
      <c r="A192" t="s">
        <v>1073</v>
      </c>
      <c r="B192" t="s">
        <v>743</v>
      </c>
      <c r="C192" t="s">
        <v>160</v>
      </c>
      <c r="D192">
        <v>50</v>
      </c>
      <c r="E192">
        <v>98.09</v>
      </c>
      <c r="F192">
        <v>4904.5</v>
      </c>
      <c r="G192">
        <v>50</v>
      </c>
      <c r="H192" t="str">
        <f>_xlfn.XLOOKUP(B192,PurchaseOrders!$A:$A,PurchaseOrders!$B:$B,"Not Found")</f>
        <v>S007</v>
      </c>
    </row>
    <row r="193" spans="1:8">
      <c r="A193" t="s">
        <v>1074</v>
      </c>
      <c r="B193" t="s">
        <v>744</v>
      </c>
      <c r="C193" t="s">
        <v>150</v>
      </c>
      <c r="D193">
        <v>50</v>
      </c>
      <c r="E193">
        <v>62.15</v>
      </c>
      <c r="F193">
        <v>3107.5</v>
      </c>
      <c r="G193">
        <v>50</v>
      </c>
      <c r="H193" t="str">
        <f>_xlfn.XLOOKUP(B193,PurchaseOrders!$A:$A,PurchaseOrders!$B:$B,"Not Found")</f>
        <v>S003</v>
      </c>
    </row>
    <row r="194" spans="1:8">
      <c r="A194" t="s">
        <v>1075</v>
      </c>
      <c r="B194" t="s">
        <v>745</v>
      </c>
      <c r="C194" t="s">
        <v>142</v>
      </c>
      <c r="D194">
        <v>20</v>
      </c>
      <c r="E194">
        <v>47.39</v>
      </c>
      <c r="F194">
        <v>947.8</v>
      </c>
      <c r="G194">
        <v>0</v>
      </c>
      <c r="H194" t="str">
        <f>_xlfn.XLOOKUP(B194,PurchaseOrders!$A:$A,PurchaseOrders!$B:$B,"Not Found")</f>
        <v>S012</v>
      </c>
    </row>
    <row r="195" spans="1:8">
      <c r="A195" t="s">
        <v>1076</v>
      </c>
      <c r="B195" t="s">
        <v>746</v>
      </c>
      <c r="C195" t="s">
        <v>204</v>
      </c>
      <c r="D195">
        <v>100</v>
      </c>
      <c r="E195">
        <v>5.09</v>
      </c>
      <c r="F195">
        <v>509</v>
      </c>
      <c r="G195">
        <v>0</v>
      </c>
      <c r="H195" t="str">
        <f>_xlfn.XLOOKUP(B195,PurchaseOrders!$A:$A,PurchaseOrders!$B:$B,"Not Found")</f>
        <v>S008</v>
      </c>
    </row>
    <row r="196" spans="1:8">
      <c r="A196" t="s">
        <v>1077</v>
      </c>
      <c r="B196" t="s">
        <v>747</v>
      </c>
      <c r="C196" t="s">
        <v>178</v>
      </c>
      <c r="D196">
        <v>20</v>
      </c>
      <c r="E196">
        <v>48.38</v>
      </c>
      <c r="F196">
        <v>967.6</v>
      </c>
      <c r="G196">
        <v>20</v>
      </c>
      <c r="H196" t="str">
        <f>_xlfn.XLOOKUP(B196,PurchaseOrders!$A:$A,PurchaseOrders!$B:$B,"Not Found")</f>
        <v>S004</v>
      </c>
    </row>
    <row r="197" spans="1:8">
      <c r="A197" t="s">
        <v>1078</v>
      </c>
      <c r="B197" t="s">
        <v>748</v>
      </c>
      <c r="C197" t="s">
        <v>228</v>
      </c>
      <c r="D197">
        <v>150</v>
      </c>
      <c r="E197">
        <v>76.38</v>
      </c>
      <c r="F197">
        <v>11457</v>
      </c>
      <c r="G197">
        <v>150</v>
      </c>
      <c r="H197" t="str">
        <f>_xlfn.XLOOKUP(B197,PurchaseOrders!$A:$A,PurchaseOrders!$B:$B,"Not Found")</f>
        <v>S008</v>
      </c>
    </row>
    <row r="198" spans="1:8">
      <c r="A198" t="s">
        <v>1079</v>
      </c>
      <c r="B198" t="s">
        <v>749</v>
      </c>
      <c r="C198" t="s">
        <v>128</v>
      </c>
      <c r="D198">
        <v>20</v>
      </c>
      <c r="E198">
        <v>37.94</v>
      </c>
      <c r="F198">
        <v>758.8</v>
      </c>
      <c r="G198">
        <v>20</v>
      </c>
      <c r="H198" t="str">
        <f>_xlfn.XLOOKUP(B198,PurchaseOrders!$A:$A,PurchaseOrders!$B:$B,"Not Found")</f>
        <v>S016</v>
      </c>
    </row>
    <row r="199" spans="1:8">
      <c r="A199" t="s">
        <v>1080</v>
      </c>
      <c r="B199" t="s">
        <v>750</v>
      </c>
      <c r="C199" t="s">
        <v>112</v>
      </c>
      <c r="D199">
        <v>200</v>
      </c>
      <c r="E199">
        <v>65.09</v>
      </c>
      <c r="F199">
        <v>13018</v>
      </c>
      <c r="G199">
        <v>200</v>
      </c>
      <c r="H199" t="str">
        <f>_xlfn.XLOOKUP(B199,PurchaseOrders!$A:$A,PurchaseOrders!$B:$B,"Not Found")</f>
        <v>S020</v>
      </c>
    </row>
    <row r="200" spans="1:8">
      <c r="A200" t="s">
        <v>1081</v>
      </c>
      <c r="B200" t="s">
        <v>751</v>
      </c>
      <c r="C200" t="s">
        <v>148</v>
      </c>
      <c r="D200">
        <v>500</v>
      </c>
      <c r="E200">
        <v>60.52</v>
      </c>
      <c r="F200">
        <v>30260</v>
      </c>
      <c r="G200">
        <v>500</v>
      </c>
      <c r="H200" t="str">
        <f>_xlfn.XLOOKUP(B200,PurchaseOrders!$A:$A,PurchaseOrders!$B:$B,"Not Found")</f>
        <v>S002</v>
      </c>
    </row>
    <row r="201" spans="1:8">
      <c r="A201" t="s">
        <v>1082</v>
      </c>
      <c r="B201" t="s">
        <v>752</v>
      </c>
      <c r="C201" t="s">
        <v>90</v>
      </c>
      <c r="D201">
        <v>300</v>
      </c>
      <c r="E201">
        <v>64.03</v>
      </c>
      <c r="F201">
        <v>19209</v>
      </c>
      <c r="G201">
        <v>218</v>
      </c>
      <c r="H201" t="str">
        <f>_xlfn.XLOOKUP(B201,PurchaseOrders!$A:$A,PurchaseOrders!$B:$B,"Not Found")</f>
        <v>S011</v>
      </c>
    </row>
    <row r="202" spans="1:8">
      <c r="A202" t="s">
        <v>1083</v>
      </c>
      <c r="B202" t="s">
        <v>753</v>
      </c>
      <c r="C202" t="s">
        <v>88</v>
      </c>
      <c r="D202">
        <v>300</v>
      </c>
      <c r="E202">
        <v>74.98</v>
      </c>
      <c r="F202">
        <v>22494</v>
      </c>
      <c r="G202">
        <v>300</v>
      </c>
      <c r="H202" t="str">
        <f>_xlfn.XLOOKUP(B202,PurchaseOrders!$A:$A,PurchaseOrders!$B:$B,"Not Found")</f>
        <v>S008</v>
      </c>
    </row>
    <row r="203" spans="1:8">
      <c r="A203" t="s">
        <v>1084</v>
      </c>
      <c r="B203" t="s">
        <v>754</v>
      </c>
      <c r="C203" t="s">
        <v>140</v>
      </c>
      <c r="D203">
        <v>50</v>
      </c>
      <c r="E203">
        <v>108.06</v>
      </c>
      <c r="F203">
        <v>5403</v>
      </c>
      <c r="G203">
        <v>50</v>
      </c>
      <c r="H203" t="str">
        <f>_xlfn.XLOOKUP(B203,PurchaseOrders!$A:$A,PurchaseOrders!$B:$B,"Not Found")</f>
        <v>S001</v>
      </c>
    </row>
    <row r="204" spans="1:8">
      <c r="A204" t="s">
        <v>1085</v>
      </c>
      <c r="B204" t="s">
        <v>755</v>
      </c>
      <c r="C204" t="s">
        <v>138</v>
      </c>
      <c r="D204">
        <v>150</v>
      </c>
      <c r="E204">
        <v>61.98</v>
      </c>
      <c r="F204">
        <v>9297</v>
      </c>
      <c r="G204">
        <v>0</v>
      </c>
      <c r="H204" t="str">
        <f>_xlfn.XLOOKUP(B204,PurchaseOrders!$A:$A,PurchaseOrders!$B:$B,"Not Found")</f>
        <v>S005</v>
      </c>
    </row>
    <row r="205" spans="1:8">
      <c r="A205" t="s">
        <v>1086</v>
      </c>
      <c r="B205" t="s">
        <v>756</v>
      </c>
      <c r="C205" t="s">
        <v>112</v>
      </c>
      <c r="D205">
        <v>20</v>
      </c>
      <c r="E205">
        <v>65.09</v>
      </c>
      <c r="F205">
        <v>1301.8</v>
      </c>
      <c r="G205">
        <v>5</v>
      </c>
      <c r="H205" t="str">
        <f>_xlfn.XLOOKUP(B205,PurchaseOrders!$A:$A,PurchaseOrders!$B:$B,"Not Found")</f>
        <v>S020</v>
      </c>
    </row>
    <row r="206" spans="1:8">
      <c r="A206" t="s">
        <v>1087</v>
      </c>
      <c r="B206" t="s">
        <v>757</v>
      </c>
      <c r="C206" t="s">
        <v>88</v>
      </c>
      <c r="D206">
        <v>100</v>
      </c>
      <c r="E206">
        <v>74.98</v>
      </c>
      <c r="F206">
        <v>7498</v>
      </c>
      <c r="G206">
        <v>100</v>
      </c>
      <c r="H206" t="str">
        <f>_xlfn.XLOOKUP(B206,PurchaseOrders!$A:$A,PurchaseOrders!$B:$B,"Not Found")</f>
        <v>S008</v>
      </c>
    </row>
    <row r="207" spans="1:8">
      <c r="A207" t="s">
        <v>1088</v>
      </c>
      <c r="B207" t="s">
        <v>758</v>
      </c>
      <c r="C207" t="s">
        <v>168</v>
      </c>
      <c r="D207">
        <v>100</v>
      </c>
      <c r="E207">
        <v>74.52</v>
      </c>
      <c r="F207">
        <v>7452</v>
      </c>
      <c r="G207">
        <v>100</v>
      </c>
      <c r="H207" t="str">
        <f>_xlfn.XLOOKUP(B207,PurchaseOrders!$A:$A,PurchaseOrders!$B:$B,"Not Found")</f>
        <v>S017</v>
      </c>
    </row>
    <row r="208" spans="1:8">
      <c r="A208" t="s">
        <v>1089</v>
      </c>
      <c r="B208" t="s">
        <v>759</v>
      </c>
      <c r="C208" t="s">
        <v>71</v>
      </c>
      <c r="D208">
        <v>150</v>
      </c>
      <c r="E208">
        <v>84.63</v>
      </c>
      <c r="F208">
        <v>12694.5</v>
      </c>
      <c r="G208">
        <v>35</v>
      </c>
      <c r="H208" t="str">
        <f>_xlfn.XLOOKUP(B208,PurchaseOrders!$A:$A,PurchaseOrders!$B:$B,"Not Found")</f>
        <v>S016</v>
      </c>
    </row>
    <row r="209" spans="1:8">
      <c r="A209" t="s">
        <v>1090</v>
      </c>
      <c r="B209" t="s">
        <v>760</v>
      </c>
      <c r="C209" t="s">
        <v>65</v>
      </c>
      <c r="D209">
        <v>50</v>
      </c>
      <c r="E209">
        <v>43.3</v>
      </c>
      <c r="F209">
        <v>2165</v>
      </c>
      <c r="G209">
        <v>20</v>
      </c>
      <c r="H209" t="str">
        <f>_xlfn.XLOOKUP(B209,PurchaseOrders!$A:$A,PurchaseOrders!$B:$B,"Not Found")</f>
        <v>S020</v>
      </c>
    </row>
    <row r="210" spans="1:8">
      <c r="A210" t="s">
        <v>1091</v>
      </c>
      <c r="B210" t="s">
        <v>761</v>
      </c>
      <c r="C210" t="s">
        <v>82</v>
      </c>
      <c r="D210">
        <v>50</v>
      </c>
      <c r="E210">
        <v>11.53</v>
      </c>
      <c r="F210">
        <v>576.5</v>
      </c>
      <c r="G210">
        <v>50</v>
      </c>
      <c r="H210" t="str">
        <f>_xlfn.XLOOKUP(B210,PurchaseOrders!$A:$A,PurchaseOrders!$B:$B,"Not Found")</f>
        <v>S010</v>
      </c>
    </row>
    <row r="211" spans="1:8">
      <c r="A211" t="s">
        <v>1092</v>
      </c>
      <c r="B211" t="s">
        <v>762</v>
      </c>
      <c r="C211" t="s">
        <v>174</v>
      </c>
      <c r="D211">
        <v>500</v>
      </c>
      <c r="E211">
        <v>53.82</v>
      </c>
      <c r="F211">
        <v>26910</v>
      </c>
      <c r="G211">
        <v>500</v>
      </c>
      <c r="H211" t="str">
        <f>_xlfn.XLOOKUP(B211,PurchaseOrders!$A:$A,PurchaseOrders!$B:$B,"Not Found")</f>
        <v>S012</v>
      </c>
    </row>
    <row r="212" spans="1:8">
      <c r="A212" t="s">
        <v>1093</v>
      </c>
      <c r="B212" t="s">
        <v>763</v>
      </c>
      <c r="C212" t="s">
        <v>116</v>
      </c>
      <c r="D212">
        <v>200</v>
      </c>
      <c r="E212">
        <v>19.42</v>
      </c>
      <c r="F212">
        <v>3884</v>
      </c>
      <c r="G212">
        <v>200</v>
      </c>
      <c r="H212" t="str">
        <f>_xlfn.XLOOKUP(B212,PurchaseOrders!$A:$A,PurchaseOrders!$B:$B,"Not Found")</f>
        <v>S009</v>
      </c>
    </row>
    <row r="213" spans="1:8">
      <c r="A213" t="s">
        <v>1094</v>
      </c>
      <c r="B213" t="s">
        <v>764</v>
      </c>
      <c r="C213" t="s">
        <v>128</v>
      </c>
      <c r="D213">
        <v>500</v>
      </c>
      <c r="E213">
        <v>37.91</v>
      </c>
      <c r="F213">
        <v>18955</v>
      </c>
      <c r="G213">
        <v>500</v>
      </c>
      <c r="H213" t="str">
        <f>_xlfn.XLOOKUP(B213,PurchaseOrders!$A:$A,PurchaseOrders!$B:$B,"Not Found")</f>
        <v>S011</v>
      </c>
    </row>
    <row r="214" spans="1:8">
      <c r="A214" t="s">
        <v>1095</v>
      </c>
      <c r="B214" t="s">
        <v>765</v>
      </c>
      <c r="C214" t="s">
        <v>120</v>
      </c>
      <c r="D214">
        <v>200</v>
      </c>
      <c r="E214">
        <v>35.98</v>
      </c>
      <c r="F214">
        <v>7196</v>
      </c>
      <c r="G214">
        <v>200</v>
      </c>
      <c r="H214" t="str">
        <f>_xlfn.XLOOKUP(B214,PurchaseOrders!$A:$A,PurchaseOrders!$B:$B,"Not Found")</f>
        <v>S020</v>
      </c>
    </row>
    <row r="215" spans="1:8">
      <c r="A215" t="s">
        <v>1096</v>
      </c>
      <c r="B215" t="s">
        <v>766</v>
      </c>
      <c r="C215" t="s">
        <v>222</v>
      </c>
      <c r="D215">
        <v>300</v>
      </c>
      <c r="E215">
        <v>88.6</v>
      </c>
      <c r="F215">
        <v>26580</v>
      </c>
      <c r="G215">
        <v>300</v>
      </c>
      <c r="H215" t="str">
        <f>_xlfn.XLOOKUP(B215,PurchaseOrders!$A:$A,PurchaseOrders!$B:$B,"Not Found")</f>
        <v>S012</v>
      </c>
    </row>
    <row r="216" spans="1:8">
      <c r="A216" t="s">
        <v>1097</v>
      </c>
      <c r="B216" t="s">
        <v>767</v>
      </c>
      <c r="C216" t="s">
        <v>118</v>
      </c>
      <c r="D216">
        <v>300</v>
      </c>
      <c r="E216">
        <v>43.74</v>
      </c>
      <c r="F216">
        <v>13122</v>
      </c>
      <c r="G216">
        <v>300</v>
      </c>
      <c r="H216" t="str">
        <f>_xlfn.XLOOKUP(B216,PurchaseOrders!$A:$A,PurchaseOrders!$B:$B,"Not Found")</f>
        <v>S019</v>
      </c>
    </row>
    <row r="217" spans="1:8">
      <c r="A217" t="s">
        <v>1098</v>
      </c>
      <c r="B217" t="s">
        <v>768</v>
      </c>
      <c r="C217" t="s">
        <v>198</v>
      </c>
      <c r="D217">
        <v>50</v>
      </c>
      <c r="E217">
        <v>69.58</v>
      </c>
      <c r="F217">
        <v>3479</v>
      </c>
      <c r="G217">
        <v>36</v>
      </c>
      <c r="H217" t="str">
        <f>_xlfn.XLOOKUP(B217,PurchaseOrders!$A:$A,PurchaseOrders!$B:$B,"Not Found")</f>
        <v>S016</v>
      </c>
    </row>
    <row r="218" spans="1:8">
      <c r="A218" t="s">
        <v>1099</v>
      </c>
      <c r="B218" t="s">
        <v>769</v>
      </c>
      <c r="C218" t="s">
        <v>154</v>
      </c>
      <c r="D218">
        <v>300</v>
      </c>
      <c r="E218">
        <v>69.42</v>
      </c>
      <c r="F218">
        <v>20826</v>
      </c>
      <c r="G218">
        <v>300</v>
      </c>
      <c r="H218" t="str">
        <f>_xlfn.XLOOKUP(B218,PurchaseOrders!$A:$A,PurchaseOrders!$B:$B,"Not Found")</f>
        <v>S016</v>
      </c>
    </row>
    <row r="219" spans="1:8">
      <c r="A219" t="s">
        <v>1100</v>
      </c>
      <c r="B219" t="s">
        <v>770</v>
      </c>
      <c r="C219" t="s">
        <v>208</v>
      </c>
      <c r="D219">
        <v>20</v>
      </c>
      <c r="E219">
        <v>29.46</v>
      </c>
      <c r="F219">
        <v>589.2</v>
      </c>
      <c r="G219">
        <v>0</v>
      </c>
      <c r="H219" t="str">
        <f>_xlfn.XLOOKUP(B219,PurchaseOrders!$A:$A,PurchaseOrders!$B:$B,"Not Found")</f>
        <v>S014</v>
      </c>
    </row>
    <row r="220" spans="1:8">
      <c r="A220" t="s">
        <v>1101</v>
      </c>
      <c r="B220" t="s">
        <v>771</v>
      </c>
      <c r="C220" t="s">
        <v>104</v>
      </c>
      <c r="D220">
        <v>300</v>
      </c>
      <c r="E220">
        <v>89.67</v>
      </c>
      <c r="F220">
        <v>26901</v>
      </c>
      <c r="G220">
        <v>300</v>
      </c>
      <c r="H220" t="str">
        <f>_xlfn.XLOOKUP(B220,PurchaseOrders!$A:$A,PurchaseOrders!$B:$B,"Not Found")</f>
        <v>S020</v>
      </c>
    </row>
    <row r="221" spans="1:8">
      <c r="A221" t="s">
        <v>1102</v>
      </c>
      <c r="B221" t="s">
        <v>772</v>
      </c>
      <c r="C221" t="s">
        <v>100</v>
      </c>
      <c r="D221">
        <v>100</v>
      </c>
      <c r="E221">
        <v>109.36</v>
      </c>
      <c r="F221">
        <v>10936</v>
      </c>
      <c r="G221">
        <v>100</v>
      </c>
      <c r="H221" t="str">
        <f>_xlfn.XLOOKUP(B221,PurchaseOrders!$A:$A,PurchaseOrders!$B:$B,"Not Found")</f>
        <v>S009</v>
      </c>
    </row>
    <row r="222" spans="1:8">
      <c r="A222" t="s">
        <v>1103</v>
      </c>
      <c r="B222" t="s">
        <v>773</v>
      </c>
      <c r="C222" t="s">
        <v>172</v>
      </c>
      <c r="D222">
        <v>50</v>
      </c>
      <c r="E222">
        <v>3.02</v>
      </c>
      <c r="F222">
        <v>151</v>
      </c>
      <c r="G222">
        <v>50</v>
      </c>
      <c r="H222" t="str">
        <f>_xlfn.XLOOKUP(B222,PurchaseOrders!$A:$A,PurchaseOrders!$B:$B,"Not Found")</f>
        <v>S019</v>
      </c>
    </row>
    <row r="223" spans="1:8">
      <c r="A223" t="s">
        <v>1104</v>
      </c>
      <c r="B223" t="s">
        <v>774</v>
      </c>
      <c r="C223" t="s">
        <v>192</v>
      </c>
      <c r="D223">
        <v>200</v>
      </c>
      <c r="E223">
        <v>55.29</v>
      </c>
      <c r="F223">
        <v>11058</v>
      </c>
      <c r="G223">
        <v>200</v>
      </c>
      <c r="H223" t="str">
        <f>_xlfn.XLOOKUP(B223,PurchaseOrders!$A:$A,PurchaseOrders!$B:$B,"Not Found")</f>
        <v>S020</v>
      </c>
    </row>
    <row r="224" spans="1:8">
      <c r="A224" t="s">
        <v>1105</v>
      </c>
      <c r="B224" t="s">
        <v>775</v>
      </c>
      <c r="C224" t="s">
        <v>170</v>
      </c>
      <c r="D224">
        <v>300</v>
      </c>
      <c r="E224">
        <v>3.72</v>
      </c>
      <c r="F224">
        <v>1116</v>
      </c>
      <c r="G224">
        <v>145</v>
      </c>
      <c r="H224" t="str">
        <f>_xlfn.XLOOKUP(B224,PurchaseOrders!$A:$A,PurchaseOrders!$B:$B,"Not Found")</f>
        <v>S016</v>
      </c>
    </row>
    <row r="225" spans="1:8">
      <c r="A225" t="s">
        <v>1106</v>
      </c>
      <c r="B225" t="s">
        <v>776</v>
      </c>
      <c r="C225" t="s">
        <v>74</v>
      </c>
      <c r="D225">
        <v>300</v>
      </c>
      <c r="E225">
        <v>27.09</v>
      </c>
      <c r="F225">
        <v>8127</v>
      </c>
      <c r="G225">
        <v>131</v>
      </c>
      <c r="H225" t="str">
        <f>_xlfn.XLOOKUP(B225,PurchaseOrders!$A:$A,PurchaseOrders!$B:$B,"Not Found")</f>
        <v>S002</v>
      </c>
    </row>
    <row r="226" spans="1:8">
      <c r="A226" t="s">
        <v>1107</v>
      </c>
      <c r="B226" t="s">
        <v>777</v>
      </c>
      <c r="C226" t="s">
        <v>130</v>
      </c>
      <c r="D226">
        <v>300</v>
      </c>
      <c r="E226">
        <v>50.77</v>
      </c>
      <c r="F226">
        <v>15231</v>
      </c>
      <c r="G226">
        <v>0</v>
      </c>
      <c r="H226" t="str">
        <f>_xlfn.XLOOKUP(B226,PurchaseOrders!$A:$A,PurchaseOrders!$B:$B,"Not Found")</f>
        <v>S005</v>
      </c>
    </row>
    <row r="227" spans="1:8">
      <c r="A227" t="s">
        <v>1108</v>
      </c>
      <c r="B227" t="s">
        <v>778</v>
      </c>
      <c r="C227" t="s">
        <v>184</v>
      </c>
      <c r="D227">
        <v>200</v>
      </c>
      <c r="E227">
        <v>57.74</v>
      </c>
      <c r="F227">
        <v>11548</v>
      </c>
      <c r="G227">
        <v>200</v>
      </c>
      <c r="H227" t="str">
        <f>_xlfn.XLOOKUP(B227,PurchaseOrders!$A:$A,PurchaseOrders!$B:$B,"Not Found")</f>
        <v>S012</v>
      </c>
    </row>
    <row r="228" spans="1:8">
      <c r="A228" t="s">
        <v>1109</v>
      </c>
      <c r="B228" t="s">
        <v>779</v>
      </c>
      <c r="C228" t="s">
        <v>90</v>
      </c>
      <c r="D228">
        <v>20</v>
      </c>
      <c r="E228">
        <v>76.51</v>
      </c>
      <c r="F228">
        <v>1530.2</v>
      </c>
      <c r="G228">
        <v>14</v>
      </c>
      <c r="H228" t="str">
        <f>_xlfn.XLOOKUP(B228,PurchaseOrders!$A:$A,PurchaseOrders!$B:$B,"Not Found")</f>
        <v>S007</v>
      </c>
    </row>
    <row r="229" spans="1:8">
      <c r="A229" t="s">
        <v>1110</v>
      </c>
      <c r="B229" t="s">
        <v>780</v>
      </c>
      <c r="C229" t="s">
        <v>146</v>
      </c>
      <c r="D229">
        <v>500</v>
      </c>
      <c r="E229">
        <v>29.74</v>
      </c>
      <c r="F229">
        <v>14870</v>
      </c>
      <c r="G229">
        <v>373</v>
      </c>
      <c r="H229" t="str">
        <f>_xlfn.XLOOKUP(B229,PurchaseOrders!$A:$A,PurchaseOrders!$B:$B,"Not Found")</f>
        <v>S010</v>
      </c>
    </row>
    <row r="230" spans="1:8">
      <c r="A230" t="s">
        <v>1111</v>
      </c>
      <c r="B230" t="s">
        <v>781</v>
      </c>
      <c r="C230" t="s">
        <v>214</v>
      </c>
      <c r="D230">
        <v>100</v>
      </c>
      <c r="E230">
        <v>57.15</v>
      </c>
      <c r="F230">
        <v>5715</v>
      </c>
      <c r="G230">
        <v>100</v>
      </c>
      <c r="H230" t="str">
        <f>_xlfn.XLOOKUP(B230,PurchaseOrders!$A:$A,PurchaseOrders!$B:$B,"Not Found")</f>
        <v>S010</v>
      </c>
    </row>
    <row r="231" spans="1:8">
      <c r="A231" t="s">
        <v>1112</v>
      </c>
      <c r="B231" t="s">
        <v>782</v>
      </c>
      <c r="C231" t="s">
        <v>220</v>
      </c>
      <c r="D231">
        <v>200</v>
      </c>
      <c r="E231">
        <v>71.5</v>
      </c>
      <c r="F231">
        <v>14300</v>
      </c>
      <c r="G231">
        <v>200</v>
      </c>
      <c r="H231" t="str">
        <f>_xlfn.XLOOKUP(B231,PurchaseOrders!$A:$A,PurchaseOrders!$B:$B,"Not Found")</f>
        <v>S003</v>
      </c>
    </row>
    <row r="232" spans="1:8">
      <c r="A232" t="s">
        <v>1113</v>
      </c>
      <c r="B232" t="s">
        <v>783</v>
      </c>
      <c r="C232" t="s">
        <v>84</v>
      </c>
      <c r="D232">
        <v>200</v>
      </c>
      <c r="E232">
        <v>100.26</v>
      </c>
      <c r="F232">
        <v>20052</v>
      </c>
      <c r="G232">
        <v>147</v>
      </c>
      <c r="H232" t="str">
        <f>_xlfn.XLOOKUP(B232,PurchaseOrders!$A:$A,PurchaseOrders!$B:$B,"Not Found")</f>
        <v>S016</v>
      </c>
    </row>
    <row r="233" spans="1:8">
      <c r="A233" t="s">
        <v>1114</v>
      </c>
      <c r="B233" t="s">
        <v>784</v>
      </c>
      <c r="C233" t="s">
        <v>166</v>
      </c>
      <c r="D233">
        <v>100</v>
      </c>
      <c r="E233">
        <v>37.77</v>
      </c>
      <c r="F233">
        <v>3777</v>
      </c>
      <c r="G233">
        <v>0</v>
      </c>
      <c r="H233" t="str">
        <f>_xlfn.XLOOKUP(B233,PurchaseOrders!$A:$A,PurchaseOrders!$B:$B,"Not Found")</f>
        <v>S002</v>
      </c>
    </row>
    <row r="234" spans="1:8">
      <c r="A234" t="s">
        <v>1115</v>
      </c>
      <c r="B234" t="s">
        <v>785</v>
      </c>
      <c r="C234" t="s">
        <v>176</v>
      </c>
      <c r="D234">
        <v>150</v>
      </c>
      <c r="E234">
        <v>31.4</v>
      </c>
      <c r="F234">
        <v>4710</v>
      </c>
      <c r="G234">
        <v>150</v>
      </c>
      <c r="H234" t="str">
        <f>_xlfn.XLOOKUP(B234,PurchaseOrders!$A:$A,PurchaseOrders!$B:$B,"Not Found")</f>
        <v>S014</v>
      </c>
    </row>
    <row r="235" spans="1:8">
      <c r="A235" t="s">
        <v>1116</v>
      </c>
      <c r="B235" t="s">
        <v>786</v>
      </c>
      <c r="C235" t="s">
        <v>132</v>
      </c>
      <c r="D235">
        <v>500</v>
      </c>
      <c r="E235">
        <v>45.43</v>
      </c>
      <c r="F235">
        <v>22715</v>
      </c>
      <c r="G235">
        <v>500</v>
      </c>
      <c r="H235" t="str">
        <f>_xlfn.XLOOKUP(B235,PurchaseOrders!$A:$A,PurchaseOrders!$B:$B,"Not Found")</f>
        <v>S010</v>
      </c>
    </row>
    <row r="236" spans="1:8">
      <c r="A236" t="s">
        <v>1117</v>
      </c>
      <c r="B236" t="s">
        <v>787</v>
      </c>
      <c r="C236" t="s">
        <v>102</v>
      </c>
      <c r="D236">
        <v>500</v>
      </c>
      <c r="E236">
        <v>88.09</v>
      </c>
      <c r="F236">
        <v>44045</v>
      </c>
      <c r="G236">
        <v>378</v>
      </c>
      <c r="H236" t="str">
        <f>_xlfn.XLOOKUP(B236,PurchaseOrders!$A:$A,PurchaseOrders!$B:$B,"Not Found")</f>
        <v>S010</v>
      </c>
    </row>
    <row r="237" spans="1:8">
      <c r="A237" t="s">
        <v>1118</v>
      </c>
      <c r="B237" t="s">
        <v>788</v>
      </c>
      <c r="C237" t="s">
        <v>164</v>
      </c>
      <c r="D237">
        <v>50</v>
      </c>
      <c r="E237">
        <v>90.51</v>
      </c>
      <c r="F237">
        <v>4525.5</v>
      </c>
      <c r="G237">
        <v>38</v>
      </c>
      <c r="H237" t="str">
        <f>_xlfn.XLOOKUP(B237,PurchaseOrders!$A:$A,PurchaseOrders!$B:$B,"Not Found")</f>
        <v>S018</v>
      </c>
    </row>
    <row r="238" spans="1:8">
      <c r="A238" t="s">
        <v>1119</v>
      </c>
      <c r="B238" t="s">
        <v>789</v>
      </c>
      <c r="C238" t="s">
        <v>170</v>
      </c>
      <c r="D238">
        <v>500</v>
      </c>
      <c r="E238">
        <v>3.72</v>
      </c>
      <c r="F238">
        <v>1860</v>
      </c>
      <c r="G238">
        <v>286</v>
      </c>
      <c r="H238" t="str">
        <f>_xlfn.XLOOKUP(B238,PurchaseOrders!$A:$A,PurchaseOrders!$B:$B,"Not Found")</f>
        <v>S016</v>
      </c>
    </row>
    <row r="239" spans="1:8">
      <c r="A239" t="s">
        <v>1120</v>
      </c>
      <c r="B239" t="s">
        <v>790</v>
      </c>
      <c r="C239" t="s">
        <v>112</v>
      </c>
      <c r="D239">
        <v>500</v>
      </c>
      <c r="E239">
        <v>65.09</v>
      </c>
      <c r="F239">
        <v>32545</v>
      </c>
      <c r="G239">
        <v>500</v>
      </c>
      <c r="H239" t="str">
        <f>_xlfn.XLOOKUP(B239,PurchaseOrders!$A:$A,PurchaseOrders!$B:$B,"Not Found")</f>
        <v>S020</v>
      </c>
    </row>
    <row r="240" spans="1:8">
      <c r="A240" t="s">
        <v>1121</v>
      </c>
      <c r="B240" t="s">
        <v>791</v>
      </c>
      <c r="C240" t="s">
        <v>146</v>
      </c>
      <c r="D240">
        <v>200</v>
      </c>
      <c r="E240">
        <v>29.74</v>
      </c>
      <c r="F240">
        <v>5948</v>
      </c>
      <c r="G240">
        <v>200</v>
      </c>
      <c r="H240" t="str">
        <f>_xlfn.XLOOKUP(B240,PurchaseOrders!$A:$A,PurchaseOrders!$B:$B,"Not Found")</f>
        <v>S010</v>
      </c>
    </row>
    <row r="241" spans="1:8">
      <c r="A241" t="s">
        <v>1122</v>
      </c>
      <c r="B241" t="s">
        <v>792</v>
      </c>
      <c r="C241" t="s">
        <v>154</v>
      </c>
      <c r="D241">
        <v>20</v>
      </c>
      <c r="E241">
        <v>69.42</v>
      </c>
      <c r="F241">
        <v>1388.4</v>
      </c>
      <c r="G241">
        <v>20</v>
      </c>
      <c r="H241" t="str">
        <f>_xlfn.XLOOKUP(B241,PurchaseOrders!$A:$A,PurchaseOrders!$B:$B,"Not Found")</f>
        <v>S016</v>
      </c>
    </row>
    <row r="242" spans="1:8">
      <c r="A242" t="s">
        <v>1123</v>
      </c>
      <c r="B242" t="s">
        <v>793</v>
      </c>
      <c r="C242" t="s">
        <v>94</v>
      </c>
      <c r="D242">
        <v>20</v>
      </c>
      <c r="E242">
        <v>5.39</v>
      </c>
      <c r="F242">
        <v>107.8</v>
      </c>
      <c r="G242">
        <v>0</v>
      </c>
      <c r="H242" t="str">
        <f>_xlfn.XLOOKUP(B242,PurchaseOrders!$A:$A,PurchaseOrders!$B:$B,"Not Found")</f>
        <v>S020</v>
      </c>
    </row>
    <row r="243" spans="1:8">
      <c r="A243" t="s">
        <v>1124</v>
      </c>
      <c r="B243" t="s">
        <v>794</v>
      </c>
      <c r="C243" t="s">
        <v>138</v>
      </c>
      <c r="D243">
        <v>50</v>
      </c>
      <c r="E243">
        <v>61.98</v>
      </c>
      <c r="F243">
        <v>3099</v>
      </c>
      <c r="G243">
        <v>0</v>
      </c>
      <c r="H243" t="str">
        <f>_xlfn.XLOOKUP(B243,PurchaseOrders!$A:$A,PurchaseOrders!$B:$B,"Not Found")</f>
        <v>S005</v>
      </c>
    </row>
    <row r="244" spans="1:8">
      <c r="A244" t="s">
        <v>1125</v>
      </c>
      <c r="B244" t="s">
        <v>795</v>
      </c>
      <c r="C244" t="s">
        <v>98</v>
      </c>
      <c r="D244">
        <v>150</v>
      </c>
      <c r="E244">
        <v>33.43</v>
      </c>
      <c r="F244">
        <v>5014.5</v>
      </c>
      <c r="G244">
        <v>0</v>
      </c>
      <c r="H244" t="str">
        <f>_xlfn.XLOOKUP(B244,PurchaseOrders!$A:$A,PurchaseOrders!$B:$B,"Not Found")</f>
        <v>S002</v>
      </c>
    </row>
    <row r="245" spans="1:8">
      <c r="A245" t="s">
        <v>1126</v>
      </c>
      <c r="B245" t="s">
        <v>796</v>
      </c>
      <c r="C245" t="s">
        <v>110</v>
      </c>
      <c r="D245">
        <v>150</v>
      </c>
      <c r="E245">
        <v>102.78</v>
      </c>
      <c r="F245">
        <v>15417</v>
      </c>
      <c r="G245">
        <v>0</v>
      </c>
      <c r="H245" t="str">
        <f>_xlfn.XLOOKUP(B245,PurchaseOrders!$A:$A,PurchaseOrders!$B:$B,"Not Found")</f>
        <v>S011</v>
      </c>
    </row>
    <row r="246" spans="1:8">
      <c r="A246" t="s">
        <v>1127</v>
      </c>
      <c r="B246" t="s">
        <v>797</v>
      </c>
      <c r="C246" t="s">
        <v>106</v>
      </c>
      <c r="D246">
        <v>50</v>
      </c>
      <c r="E246">
        <v>65.06</v>
      </c>
      <c r="F246">
        <v>3253</v>
      </c>
      <c r="G246">
        <v>0</v>
      </c>
      <c r="H246" t="str">
        <f>_xlfn.XLOOKUP(B246,PurchaseOrders!$A:$A,PurchaseOrders!$B:$B,"Not Found")</f>
        <v>S007</v>
      </c>
    </row>
    <row r="247" spans="1:8">
      <c r="A247" t="s">
        <v>1128</v>
      </c>
      <c r="B247" t="s">
        <v>798</v>
      </c>
      <c r="C247" t="s">
        <v>226</v>
      </c>
      <c r="D247">
        <v>200</v>
      </c>
      <c r="E247">
        <v>45.95</v>
      </c>
      <c r="F247">
        <v>9190</v>
      </c>
      <c r="G247">
        <v>132</v>
      </c>
      <c r="H247" t="str">
        <f>_xlfn.XLOOKUP(B247,PurchaseOrders!$A:$A,PurchaseOrders!$B:$B,"Not Found")</f>
        <v>S009</v>
      </c>
    </row>
    <row r="248" spans="1:8">
      <c r="A248" t="s">
        <v>1129</v>
      </c>
      <c r="B248" t="s">
        <v>799</v>
      </c>
      <c r="C248" t="s">
        <v>178</v>
      </c>
      <c r="D248">
        <v>300</v>
      </c>
      <c r="E248">
        <v>45.67</v>
      </c>
      <c r="F248">
        <v>13701</v>
      </c>
      <c r="G248">
        <v>300</v>
      </c>
      <c r="H248" t="str">
        <f>_xlfn.XLOOKUP(B248,PurchaseOrders!$A:$A,PurchaseOrders!$B:$B,"Not Found")</f>
        <v>S006</v>
      </c>
    </row>
    <row r="249" spans="1:8">
      <c r="A249" t="s">
        <v>1130</v>
      </c>
      <c r="B249" t="s">
        <v>800</v>
      </c>
      <c r="C249" t="s">
        <v>210</v>
      </c>
      <c r="D249">
        <v>50</v>
      </c>
      <c r="E249">
        <v>83.66</v>
      </c>
      <c r="F249">
        <v>4183</v>
      </c>
      <c r="G249">
        <v>50</v>
      </c>
      <c r="H249" t="str">
        <f>_xlfn.XLOOKUP(B249,PurchaseOrders!$A:$A,PurchaseOrders!$B:$B,"Not Found")</f>
        <v>S020</v>
      </c>
    </row>
    <row r="250" spans="1:8">
      <c r="A250" t="s">
        <v>1131</v>
      </c>
      <c r="B250" t="s">
        <v>801</v>
      </c>
      <c r="C250" t="s">
        <v>180</v>
      </c>
      <c r="D250">
        <v>50</v>
      </c>
      <c r="E250">
        <v>104.08</v>
      </c>
      <c r="F250">
        <v>5204</v>
      </c>
      <c r="G250">
        <v>50</v>
      </c>
      <c r="H250" t="str">
        <f>_xlfn.XLOOKUP(B250,PurchaseOrders!$A:$A,PurchaseOrders!$B:$B,"Not Found")</f>
        <v>S005</v>
      </c>
    </row>
    <row r="251" spans="1:8">
      <c r="A251" t="s">
        <v>1132</v>
      </c>
      <c r="B251" t="s">
        <v>802</v>
      </c>
      <c r="C251" t="s">
        <v>200</v>
      </c>
      <c r="D251">
        <v>150</v>
      </c>
      <c r="E251">
        <v>26.32</v>
      </c>
      <c r="F251">
        <v>3948</v>
      </c>
      <c r="G251">
        <v>150</v>
      </c>
      <c r="H251" t="str">
        <f>_xlfn.XLOOKUP(B251,PurchaseOrders!$A:$A,PurchaseOrders!$B:$B,"Not Found")</f>
        <v>S019</v>
      </c>
    </row>
    <row r="252" spans="1:8">
      <c r="A252" t="s">
        <v>1133</v>
      </c>
      <c r="B252" t="s">
        <v>803</v>
      </c>
      <c r="C252" t="s">
        <v>124</v>
      </c>
      <c r="D252">
        <v>50</v>
      </c>
      <c r="E252">
        <v>79.81</v>
      </c>
      <c r="F252">
        <v>3990.5</v>
      </c>
      <c r="G252">
        <v>0</v>
      </c>
      <c r="H252" t="str">
        <f>_xlfn.XLOOKUP(B252,PurchaseOrders!$A:$A,PurchaseOrders!$B:$B,"Not Found")</f>
        <v>S013</v>
      </c>
    </row>
    <row r="253" spans="1:8">
      <c r="A253" t="s">
        <v>1134</v>
      </c>
      <c r="B253" t="s">
        <v>804</v>
      </c>
      <c r="C253" t="s">
        <v>118</v>
      </c>
      <c r="D253">
        <v>500</v>
      </c>
      <c r="E253">
        <v>54.3</v>
      </c>
      <c r="F253">
        <v>27150</v>
      </c>
      <c r="G253">
        <v>327</v>
      </c>
      <c r="H253" t="str">
        <f>_xlfn.XLOOKUP(B253,PurchaseOrders!$A:$A,PurchaseOrders!$B:$B,"Not Found")</f>
        <v>S004</v>
      </c>
    </row>
    <row r="254" spans="1:8">
      <c r="A254" t="s">
        <v>1135</v>
      </c>
      <c r="B254" t="s">
        <v>805</v>
      </c>
      <c r="C254" t="s">
        <v>200</v>
      </c>
      <c r="D254">
        <v>200</v>
      </c>
      <c r="E254">
        <v>23.51</v>
      </c>
      <c r="F254">
        <v>4702</v>
      </c>
      <c r="G254">
        <v>84</v>
      </c>
      <c r="H254" t="str">
        <f>_xlfn.XLOOKUP(B254,PurchaseOrders!$A:$A,PurchaseOrders!$B:$B,"Not Found")</f>
        <v>S007</v>
      </c>
    </row>
    <row r="255" spans="1:8">
      <c r="A255" t="s">
        <v>1136</v>
      </c>
      <c r="B255" t="s">
        <v>806</v>
      </c>
      <c r="C255" t="s">
        <v>182</v>
      </c>
      <c r="D255">
        <v>300</v>
      </c>
      <c r="E255">
        <v>47.93</v>
      </c>
      <c r="F255">
        <v>14379</v>
      </c>
      <c r="G255">
        <v>0</v>
      </c>
      <c r="H255" t="str">
        <f>_xlfn.XLOOKUP(B255,PurchaseOrders!$A:$A,PurchaseOrders!$B:$B,"Not Found")</f>
        <v>S005</v>
      </c>
    </row>
    <row r="256" spans="1:8">
      <c r="A256" t="s">
        <v>1137</v>
      </c>
      <c r="B256" t="s">
        <v>807</v>
      </c>
      <c r="C256" t="s">
        <v>84</v>
      </c>
      <c r="D256">
        <v>200</v>
      </c>
      <c r="E256">
        <v>100.26</v>
      </c>
      <c r="F256">
        <v>20052</v>
      </c>
      <c r="G256">
        <v>200</v>
      </c>
      <c r="H256" t="str">
        <f>_xlfn.XLOOKUP(B256,PurchaseOrders!$A:$A,PurchaseOrders!$B:$B,"Not Found")</f>
        <v>S016</v>
      </c>
    </row>
    <row r="257" spans="1:8">
      <c r="A257" t="s">
        <v>1138</v>
      </c>
      <c r="B257" t="s">
        <v>808</v>
      </c>
      <c r="C257" t="s">
        <v>80</v>
      </c>
      <c r="D257">
        <v>500</v>
      </c>
      <c r="E257">
        <v>48.16</v>
      </c>
      <c r="F257">
        <v>24080</v>
      </c>
      <c r="G257">
        <v>0</v>
      </c>
      <c r="H257" t="str">
        <f>_xlfn.XLOOKUP(B257,PurchaseOrders!$A:$A,PurchaseOrders!$B:$B,"Not Found")</f>
        <v>S004</v>
      </c>
    </row>
    <row r="258" spans="1:8">
      <c r="A258" t="s">
        <v>1139</v>
      </c>
      <c r="B258" t="s">
        <v>809</v>
      </c>
      <c r="C258" t="s">
        <v>84</v>
      </c>
      <c r="D258">
        <v>20</v>
      </c>
      <c r="E258">
        <v>85.56</v>
      </c>
      <c r="F258">
        <v>1711.2</v>
      </c>
      <c r="G258">
        <v>20</v>
      </c>
      <c r="H258" t="str">
        <f>_xlfn.XLOOKUP(B258,PurchaseOrders!$A:$A,PurchaseOrders!$B:$B,"Not Found")</f>
        <v>S001</v>
      </c>
    </row>
    <row r="259" spans="1:8">
      <c r="A259" t="s">
        <v>1140</v>
      </c>
      <c r="B259" t="s">
        <v>810</v>
      </c>
      <c r="C259" t="s">
        <v>118</v>
      </c>
      <c r="D259">
        <v>500</v>
      </c>
      <c r="E259">
        <v>59.35</v>
      </c>
      <c r="F259">
        <v>29675</v>
      </c>
      <c r="G259">
        <v>500</v>
      </c>
      <c r="H259" t="str">
        <f>_xlfn.XLOOKUP(B259,PurchaseOrders!$A:$A,PurchaseOrders!$B:$B,"Not Found")</f>
        <v>S011</v>
      </c>
    </row>
    <row r="260" spans="1:8">
      <c r="A260" t="s">
        <v>1141</v>
      </c>
      <c r="B260" t="s">
        <v>811</v>
      </c>
      <c r="C260" t="s">
        <v>206</v>
      </c>
      <c r="D260">
        <v>500</v>
      </c>
      <c r="E260">
        <v>53.51</v>
      </c>
      <c r="F260">
        <v>26755</v>
      </c>
      <c r="G260">
        <v>500</v>
      </c>
      <c r="H260" t="str">
        <f>_xlfn.XLOOKUP(B260,PurchaseOrders!$A:$A,PurchaseOrders!$B:$B,"Not Found")</f>
        <v>S007</v>
      </c>
    </row>
    <row r="261" spans="1:8">
      <c r="A261" t="s">
        <v>1142</v>
      </c>
      <c r="B261" t="s">
        <v>812</v>
      </c>
      <c r="C261" t="s">
        <v>65</v>
      </c>
      <c r="D261">
        <v>50</v>
      </c>
      <c r="E261">
        <v>43.3</v>
      </c>
      <c r="F261">
        <v>2165</v>
      </c>
      <c r="G261">
        <v>0</v>
      </c>
      <c r="H261" t="str">
        <f>_xlfn.XLOOKUP(B261,PurchaseOrders!$A:$A,PurchaseOrders!$B:$B,"Not Found")</f>
        <v>S020</v>
      </c>
    </row>
    <row r="262" spans="1:8">
      <c r="A262" t="s">
        <v>1143</v>
      </c>
      <c r="B262" t="s">
        <v>813</v>
      </c>
      <c r="C262" t="s">
        <v>228</v>
      </c>
      <c r="D262">
        <v>200</v>
      </c>
      <c r="E262">
        <v>68.79</v>
      </c>
      <c r="F262">
        <v>13758</v>
      </c>
      <c r="G262">
        <v>0</v>
      </c>
      <c r="H262" t="str">
        <f>_xlfn.XLOOKUP(B262,PurchaseOrders!$A:$A,PurchaseOrders!$B:$B,"Not Found")</f>
        <v>S013</v>
      </c>
    </row>
    <row r="263" spans="1:8">
      <c r="A263" t="s">
        <v>1144</v>
      </c>
      <c r="B263" t="s">
        <v>814</v>
      </c>
      <c r="C263" t="s">
        <v>186</v>
      </c>
      <c r="D263">
        <v>50</v>
      </c>
      <c r="E263">
        <v>32.74</v>
      </c>
      <c r="F263">
        <v>1637</v>
      </c>
      <c r="G263">
        <v>0</v>
      </c>
      <c r="H263" t="str">
        <f>_xlfn.XLOOKUP(B263,PurchaseOrders!$A:$A,PurchaseOrders!$B:$B,"Not Found")</f>
        <v>S013</v>
      </c>
    </row>
    <row r="264" spans="1:8">
      <c r="A264" t="s">
        <v>1145</v>
      </c>
      <c r="B264" t="s">
        <v>815</v>
      </c>
      <c r="C264" t="s">
        <v>112</v>
      </c>
      <c r="D264">
        <v>50</v>
      </c>
      <c r="E264">
        <v>58.61</v>
      </c>
      <c r="F264">
        <v>2930.5</v>
      </c>
      <c r="G264">
        <v>32</v>
      </c>
      <c r="H264" t="str">
        <f>_xlfn.XLOOKUP(B264,PurchaseOrders!$A:$A,PurchaseOrders!$B:$B,"Not Found")</f>
        <v>S007</v>
      </c>
    </row>
    <row r="265" spans="1:8">
      <c r="A265" t="s">
        <v>1146</v>
      </c>
      <c r="B265" t="s">
        <v>816</v>
      </c>
      <c r="C265" t="s">
        <v>172</v>
      </c>
      <c r="D265">
        <v>150</v>
      </c>
      <c r="E265">
        <v>3.02</v>
      </c>
      <c r="F265">
        <v>453</v>
      </c>
      <c r="G265">
        <v>150</v>
      </c>
      <c r="H265" t="str">
        <f>_xlfn.XLOOKUP(B265,PurchaseOrders!$A:$A,PurchaseOrders!$B:$B,"Not Found")</f>
        <v>S019</v>
      </c>
    </row>
    <row r="266" spans="1:8">
      <c r="A266" t="s">
        <v>1147</v>
      </c>
      <c r="B266" t="s">
        <v>817</v>
      </c>
      <c r="C266" t="s">
        <v>114</v>
      </c>
      <c r="D266">
        <v>300</v>
      </c>
      <c r="E266">
        <v>6.89</v>
      </c>
      <c r="F266">
        <v>2067</v>
      </c>
      <c r="G266">
        <v>300</v>
      </c>
      <c r="H266" t="str">
        <f>_xlfn.XLOOKUP(B266,PurchaseOrders!$A:$A,PurchaseOrders!$B:$B,"Not Found")</f>
        <v>S009</v>
      </c>
    </row>
    <row r="267" spans="1:8">
      <c r="A267" t="s">
        <v>1148</v>
      </c>
      <c r="B267" t="s">
        <v>818</v>
      </c>
      <c r="C267" t="s">
        <v>108</v>
      </c>
      <c r="D267">
        <v>20</v>
      </c>
      <c r="E267">
        <v>96.38</v>
      </c>
      <c r="F267">
        <v>1927.6</v>
      </c>
      <c r="G267">
        <v>13</v>
      </c>
      <c r="H267" t="str">
        <f>_xlfn.XLOOKUP(B267,PurchaseOrders!$A:$A,PurchaseOrders!$B:$B,"Not Found")</f>
        <v>S014</v>
      </c>
    </row>
    <row r="268" spans="1:8">
      <c r="A268" t="s">
        <v>1149</v>
      </c>
      <c r="B268" t="s">
        <v>819</v>
      </c>
      <c r="C268" t="s">
        <v>188</v>
      </c>
      <c r="D268">
        <v>300</v>
      </c>
      <c r="E268">
        <v>51.04</v>
      </c>
      <c r="F268">
        <v>15312</v>
      </c>
      <c r="G268">
        <v>300</v>
      </c>
      <c r="H268" t="str">
        <f>_xlfn.XLOOKUP(B268,PurchaseOrders!$A:$A,PurchaseOrders!$B:$B,"Not Found")</f>
        <v>S001</v>
      </c>
    </row>
    <row r="269" spans="1:8">
      <c r="A269" t="s">
        <v>1150</v>
      </c>
      <c r="B269" t="s">
        <v>820</v>
      </c>
      <c r="C269" t="s">
        <v>152</v>
      </c>
      <c r="D269">
        <v>300</v>
      </c>
      <c r="E269">
        <v>24.55</v>
      </c>
      <c r="F269">
        <v>7365</v>
      </c>
      <c r="G269">
        <v>169</v>
      </c>
      <c r="H269" t="str">
        <f>_xlfn.XLOOKUP(B269,PurchaseOrders!$A:$A,PurchaseOrders!$B:$B,"Not Found")</f>
        <v>S011</v>
      </c>
    </row>
    <row r="270" spans="1:8">
      <c r="A270" t="s">
        <v>1151</v>
      </c>
      <c r="B270" t="s">
        <v>821</v>
      </c>
      <c r="C270" t="s">
        <v>86</v>
      </c>
      <c r="D270">
        <v>50</v>
      </c>
      <c r="E270">
        <v>20.16</v>
      </c>
      <c r="F270">
        <v>1008</v>
      </c>
      <c r="G270">
        <v>50</v>
      </c>
      <c r="H270" t="str">
        <f>_xlfn.XLOOKUP(B270,PurchaseOrders!$A:$A,PurchaseOrders!$B:$B,"Not Found")</f>
        <v>S008</v>
      </c>
    </row>
    <row r="271" spans="1:8">
      <c r="A271" t="s">
        <v>1152</v>
      </c>
      <c r="B271" t="s">
        <v>822</v>
      </c>
      <c r="C271" t="s">
        <v>224</v>
      </c>
      <c r="D271">
        <v>100</v>
      </c>
      <c r="E271">
        <v>94.9</v>
      </c>
      <c r="F271">
        <v>9490</v>
      </c>
      <c r="G271">
        <v>100</v>
      </c>
      <c r="H271" t="str">
        <f>_xlfn.XLOOKUP(B271,PurchaseOrders!$A:$A,PurchaseOrders!$B:$B,"Not Found")</f>
        <v>S020</v>
      </c>
    </row>
    <row r="272" spans="1:8">
      <c r="A272" t="s">
        <v>1153</v>
      </c>
      <c r="B272" t="s">
        <v>823</v>
      </c>
      <c r="C272" t="s">
        <v>144</v>
      </c>
      <c r="D272">
        <v>300</v>
      </c>
      <c r="E272">
        <v>60.89</v>
      </c>
      <c r="F272">
        <v>18267</v>
      </c>
      <c r="G272">
        <v>300</v>
      </c>
      <c r="H272" t="str">
        <f>_xlfn.XLOOKUP(B272,PurchaseOrders!$A:$A,PurchaseOrders!$B:$B,"Not Found")</f>
        <v>S015</v>
      </c>
    </row>
    <row r="273" spans="1:8">
      <c r="A273" t="s">
        <v>1154</v>
      </c>
      <c r="B273" t="s">
        <v>824</v>
      </c>
      <c r="C273" t="s">
        <v>222</v>
      </c>
      <c r="D273">
        <v>100</v>
      </c>
      <c r="E273">
        <v>88.6</v>
      </c>
      <c r="F273">
        <v>8860</v>
      </c>
      <c r="G273">
        <v>100</v>
      </c>
      <c r="H273" t="str">
        <f>_xlfn.XLOOKUP(B273,PurchaseOrders!$A:$A,PurchaseOrders!$B:$B,"Not Found")</f>
        <v>S012</v>
      </c>
    </row>
    <row r="274" spans="1:8">
      <c r="A274" t="s">
        <v>1155</v>
      </c>
      <c r="B274" t="s">
        <v>825</v>
      </c>
      <c r="C274" t="s">
        <v>150</v>
      </c>
      <c r="D274">
        <v>200</v>
      </c>
      <c r="E274">
        <v>62.15</v>
      </c>
      <c r="F274">
        <v>12430</v>
      </c>
      <c r="G274">
        <v>200</v>
      </c>
      <c r="H274" t="str">
        <f>_xlfn.XLOOKUP(B274,PurchaseOrders!$A:$A,PurchaseOrders!$B:$B,"Not Found")</f>
        <v>S003</v>
      </c>
    </row>
    <row r="275" spans="1:8">
      <c r="A275" t="s">
        <v>1156</v>
      </c>
      <c r="B275" t="s">
        <v>826</v>
      </c>
      <c r="C275" t="s">
        <v>178</v>
      </c>
      <c r="D275">
        <v>20</v>
      </c>
      <c r="E275">
        <v>48.38</v>
      </c>
      <c r="F275">
        <v>967.6</v>
      </c>
      <c r="G275">
        <v>20</v>
      </c>
      <c r="H275" t="str">
        <f>_xlfn.XLOOKUP(B275,PurchaseOrders!$A:$A,PurchaseOrders!$B:$B,"Not Found")</f>
        <v>S004</v>
      </c>
    </row>
    <row r="276" spans="1:8">
      <c r="A276" t="s">
        <v>1157</v>
      </c>
      <c r="B276" t="s">
        <v>827</v>
      </c>
      <c r="C276" t="s">
        <v>182</v>
      </c>
      <c r="D276">
        <v>50</v>
      </c>
      <c r="E276">
        <v>65.14</v>
      </c>
      <c r="F276">
        <v>3257</v>
      </c>
      <c r="G276">
        <v>50</v>
      </c>
      <c r="H276" t="str">
        <f>_xlfn.XLOOKUP(B276,PurchaseOrders!$A:$A,PurchaseOrders!$B:$B,"Not Found")</f>
        <v>S003</v>
      </c>
    </row>
    <row r="277" spans="1:8">
      <c r="A277" t="s">
        <v>1158</v>
      </c>
      <c r="B277" t="s">
        <v>828</v>
      </c>
      <c r="C277" t="s">
        <v>71</v>
      </c>
      <c r="D277">
        <v>300</v>
      </c>
      <c r="E277">
        <v>94.06</v>
      </c>
      <c r="F277">
        <v>28218</v>
      </c>
      <c r="G277">
        <v>0</v>
      </c>
      <c r="H277" t="str">
        <f>_xlfn.XLOOKUP(B277,PurchaseOrders!$A:$A,PurchaseOrders!$B:$B,"Not Found")</f>
        <v>S009</v>
      </c>
    </row>
    <row r="278" spans="1:8">
      <c r="A278" t="s">
        <v>1159</v>
      </c>
      <c r="B278" t="s">
        <v>829</v>
      </c>
      <c r="C278" t="s">
        <v>206</v>
      </c>
      <c r="D278">
        <v>100</v>
      </c>
      <c r="E278">
        <v>53.51</v>
      </c>
      <c r="F278">
        <v>5351</v>
      </c>
      <c r="G278">
        <v>100</v>
      </c>
      <c r="H278" t="str">
        <f>_xlfn.XLOOKUP(B278,PurchaseOrders!$A:$A,PurchaseOrders!$B:$B,"Not Found")</f>
        <v>S007</v>
      </c>
    </row>
    <row r="279" spans="1:8">
      <c r="A279" t="s">
        <v>1160</v>
      </c>
      <c r="B279" t="s">
        <v>830</v>
      </c>
      <c r="C279" t="s">
        <v>122</v>
      </c>
      <c r="D279">
        <v>50</v>
      </c>
      <c r="E279">
        <v>10.07</v>
      </c>
      <c r="F279">
        <v>503.5</v>
      </c>
      <c r="G279">
        <v>50</v>
      </c>
      <c r="H279" t="str">
        <f>_xlfn.XLOOKUP(B279,PurchaseOrders!$A:$A,PurchaseOrders!$B:$B,"Not Found")</f>
        <v>S019</v>
      </c>
    </row>
    <row r="280" spans="1:8">
      <c r="A280" t="s">
        <v>1161</v>
      </c>
      <c r="B280" t="s">
        <v>831</v>
      </c>
      <c r="C280" t="s">
        <v>104</v>
      </c>
      <c r="D280">
        <v>200</v>
      </c>
      <c r="E280">
        <v>68</v>
      </c>
      <c r="F280">
        <v>13600</v>
      </c>
      <c r="G280">
        <v>200</v>
      </c>
      <c r="H280" t="str">
        <f>_xlfn.XLOOKUP(B280,PurchaseOrders!$A:$A,PurchaseOrders!$B:$B,"Not Found")</f>
        <v>S010</v>
      </c>
    </row>
    <row r="281" spans="1:8">
      <c r="A281" t="s">
        <v>1162</v>
      </c>
      <c r="B281" t="s">
        <v>832</v>
      </c>
      <c r="C281" t="s">
        <v>106</v>
      </c>
      <c r="D281">
        <v>150</v>
      </c>
      <c r="E281">
        <v>85.78</v>
      </c>
      <c r="F281">
        <v>12867</v>
      </c>
      <c r="G281">
        <v>150</v>
      </c>
      <c r="H281" t="str">
        <f>_xlfn.XLOOKUP(B281,PurchaseOrders!$A:$A,PurchaseOrders!$B:$B,"Not Found")</f>
        <v>S005</v>
      </c>
    </row>
    <row r="282" spans="1:8">
      <c r="A282" t="s">
        <v>1163</v>
      </c>
      <c r="B282" t="s">
        <v>833</v>
      </c>
      <c r="C282" t="s">
        <v>144</v>
      </c>
      <c r="D282">
        <v>50</v>
      </c>
      <c r="E282">
        <v>73.58</v>
      </c>
      <c r="F282">
        <v>3679</v>
      </c>
      <c r="G282">
        <v>50</v>
      </c>
      <c r="H282" t="str">
        <f>_xlfn.XLOOKUP(B282,PurchaseOrders!$A:$A,PurchaseOrders!$B:$B,"Not Found")</f>
        <v>S001</v>
      </c>
    </row>
    <row r="283" spans="1:8">
      <c r="A283" t="s">
        <v>1164</v>
      </c>
      <c r="B283" t="s">
        <v>834</v>
      </c>
      <c r="C283" t="s">
        <v>80</v>
      </c>
      <c r="D283">
        <v>100</v>
      </c>
      <c r="E283">
        <v>48.16</v>
      </c>
      <c r="F283">
        <v>4816</v>
      </c>
      <c r="G283">
        <v>47</v>
      </c>
      <c r="H283" t="str">
        <f>_xlfn.XLOOKUP(B283,PurchaseOrders!$A:$A,PurchaseOrders!$B:$B,"Not Found")</f>
        <v>S004</v>
      </c>
    </row>
    <row r="284" spans="1:8">
      <c r="A284" t="s">
        <v>1165</v>
      </c>
      <c r="B284" t="s">
        <v>835</v>
      </c>
      <c r="C284" t="s">
        <v>226</v>
      </c>
      <c r="D284">
        <v>100</v>
      </c>
      <c r="E284">
        <v>37.45</v>
      </c>
      <c r="F284">
        <v>3745</v>
      </c>
      <c r="G284">
        <v>100</v>
      </c>
      <c r="H284" t="str">
        <f>_xlfn.XLOOKUP(B284,PurchaseOrders!$A:$A,PurchaseOrders!$B:$B,"Not Found")</f>
        <v>S019</v>
      </c>
    </row>
    <row r="285" spans="1:8">
      <c r="A285" t="s">
        <v>1166</v>
      </c>
      <c r="B285" t="s">
        <v>836</v>
      </c>
      <c r="C285" t="s">
        <v>126</v>
      </c>
      <c r="D285">
        <v>500</v>
      </c>
      <c r="E285">
        <v>93.31</v>
      </c>
      <c r="F285">
        <v>46655</v>
      </c>
      <c r="G285">
        <v>500</v>
      </c>
      <c r="H285" t="str">
        <f>_xlfn.XLOOKUP(B285,PurchaseOrders!$A:$A,PurchaseOrders!$B:$B,"Not Found")</f>
        <v>S001</v>
      </c>
    </row>
    <row r="286" spans="1:8">
      <c r="A286" t="s">
        <v>1167</v>
      </c>
      <c r="B286" t="s">
        <v>837</v>
      </c>
      <c r="C286" t="s">
        <v>94</v>
      </c>
      <c r="D286">
        <v>100</v>
      </c>
      <c r="E286">
        <v>5.39</v>
      </c>
      <c r="F286">
        <v>539</v>
      </c>
      <c r="G286">
        <v>0</v>
      </c>
      <c r="H286" t="str">
        <f>_xlfn.XLOOKUP(B286,PurchaseOrders!$A:$A,PurchaseOrders!$B:$B,"Not Found")</f>
        <v>S020</v>
      </c>
    </row>
    <row r="287" spans="1:8">
      <c r="A287" t="s">
        <v>1168</v>
      </c>
      <c r="B287" t="s">
        <v>838</v>
      </c>
      <c r="C287" t="s">
        <v>184</v>
      </c>
      <c r="D287">
        <v>300</v>
      </c>
      <c r="E287">
        <v>50.57</v>
      </c>
      <c r="F287">
        <v>15171</v>
      </c>
      <c r="G287">
        <v>300</v>
      </c>
      <c r="H287" t="str">
        <f>_xlfn.XLOOKUP(B287,PurchaseOrders!$A:$A,PurchaseOrders!$B:$B,"Not Found")</f>
        <v>S009</v>
      </c>
    </row>
    <row r="288" spans="1:8">
      <c r="A288" t="s">
        <v>1169</v>
      </c>
      <c r="B288" t="s">
        <v>839</v>
      </c>
      <c r="C288" t="s">
        <v>88</v>
      </c>
      <c r="D288">
        <v>300</v>
      </c>
      <c r="E288">
        <v>81.09</v>
      </c>
      <c r="F288">
        <v>24327</v>
      </c>
      <c r="G288">
        <v>300</v>
      </c>
      <c r="H288" t="str">
        <f>_xlfn.XLOOKUP(B288,PurchaseOrders!$A:$A,PurchaseOrders!$B:$B,"Not Found")</f>
        <v>S017</v>
      </c>
    </row>
    <row r="289" spans="1:8">
      <c r="A289" t="s">
        <v>1170</v>
      </c>
      <c r="B289" t="s">
        <v>840</v>
      </c>
      <c r="C289" t="s">
        <v>118</v>
      </c>
      <c r="D289">
        <v>500</v>
      </c>
      <c r="E289">
        <v>54.3</v>
      </c>
      <c r="F289">
        <v>27150</v>
      </c>
      <c r="G289">
        <v>500</v>
      </c>
      <c r="H289" t="str">
        <f>_xlfn.XLOOKUP(B289,PurchaseOrders!$A:$A,PurchaseOrders!$B:$B,"Not Found")</f>
        <v>S004</v>
      </c>
    </row>
    <row r="290" spans="1:8">
      <c r="A290" t="s">
        <v>1171</v>
      </c>
      <c r="B290" t="s">
        <v>841</v>
      </c>
      <c r="C290" t="s">
        <v>114</v>
      </c>
      <c r="D290">
        <v>100</v>
      </c>
      <c r="E290">
        <v>6.89</v>
      </c>
      <c r="F290">
        <v>689</v>
      </c>
      <c r="G290">
        <v>0</v>
      </c>
      <c r="H290" t="str">
        <f>_xlfn.XLOOKUP(B290,PurchaseOrders!$A:$A,PurchaseOrders!$B:$B,"Not Found")</f>
        <v>S009</v>
      </c>
    </row>
    <row r="291" spans="1:8">
      <c r="A291" t="s">
        <v>1172</v>
      </c>
      <c r="B291" t="s">
        <v>842</v>
      </c>
      <c r="C291" t="s">
        <v>132</v>
      </c>
      <c r="D291">
        <v>200</v>
      </c>
      <c r="E291">
        <v>46.57</v>
      </c>
      <c r="F291">
        <v>9314</v>
      </c>
      <c r="G291">
        <v>120</v>
      </c>
      <c r="H291" t="str">
        <f>_xlfn.XLOOKUP(B291,PurchaseOrders!$A:$A,PurchaseOrders!$B:$B,"Not Found")</f>
        <v>S005</v>
      </c>
    </row>
    <row r="292" spans="1:8">
      <c r="A292" t="s">
        <v>1173</v>
      </c>
      <c r="B292" t="s">
        <v>843</v>
      </c>
      <c r="C292" t="s">
        <v>176</v>
      </c>
      <c r="D292">
        <v>200</v>
      </c>
      <c r="E292">
        <v>31.4</v>
      </c>
      <c r="F292">
        <v>6280</v>
      </c>
      <c r="G292">
        <v>89</v>
      </c>
      <c r="H292" t="str">
        <f>_xlfn.XLOOKUP(B292,PurchaseOrders!$A:$A,PurchaseOrders!$B:$B,"Not Found")</f>
        <v>S014</v>
      </c>
    </row>
    <row r="293" spans="1:8">
      <c r="A293" t="s">
        <v>1174</v>
      </c>
      <c r="B293" t="s">
        <v>844</v>
      </c>
      <c r="C293" t="s">
        <v>90</v>
      </c>
      <c r="D293">
        <v>150</v>
      </c>
      <c r="E293">
        <v>76.51</v>
      </c>
      <c r="F293">
        <v>11476.5</v>
      </c>
      <c r="G293">
        <v>150</v>
      </c>
      <c r="H293" t="str">
        <f>_xlfn.XLOOKUP(B293,PurchaseOrders!$A:$A,PurchaseOrders!$B:$B,"Not Found")</f>
        <v>S007</v>
      </c>
    </row>
    <row r="294" spans="1:8">
      <c r="A294" t="s">
        <v>1175</v>
      </c>
      <c r="B294" t="s">
        <v>845</v>
      </c>
      <c r="C294" t="s">
        <v>74</v>
      </c>
      <c r="D294">
        <v>50</v>
      </c>
      <c r="E294">
        <v>27.09</v>
      </c>
      <c r="F294">
        <v>1354.5</v>
      </c>
      <c r="G294">
        <v>0</v>
      </c>
      <c r="H294" t="str">
        <f>_xlfn.XLOOKUP(B294,PurchaseOrders!$A:$A,PurchaseOrders!$B:$B,"Not Found")</f>
        <v>S002</v>
      </c>
    </row>
    <row r="295" spans="1:8">
      <c r="A295" t="s">
        <v>1176</v>
      </c>
      <c r="B295" t="s">
        <v>846</v>
      </c>
      <c r="C295" t="s">
        <v>120</v>
      </c>
      <c r="D295">
        <v>20</v>
      </c>
      <c r="E295">
        <v>40.65</v>
      </c>
      <c r="F295">
        <v>813</v>
      </c>
      <c r="G295">
        <v>20</v>
      </c>
      <c r="H295" t="str">
        <f>_xlfn.XLOOKUP(B295,PurchaseOrders!$A:$A,PurchaseOrders!$B:$B,"Not Found")</f>
        <v>S011</v>
      </c>
    </row>
    <row r="296" spans="1:8">
      <c r="A296" t="s">
        <v>1177</v>
      </c>
      <c r="B296" t="s">
        <v>847</v>
      </c>
      <c r="C296" t="s">
        <v>166</v>
      </c>
      <c r="D296">
        <v>500</v>
      </c>
      <c r="E296">
        <v>30.68</v>
      </c>
      <c r="F296">
        <v>15340</v>
      </c>
      <c r="G296">
        <v>500</v>
      </c>
      <c r="H296" t="str">
        <f>_xlfn.XLOOKUP(B296,PurchaseOrders!$A:$A,PurchaseOrders!$B:$B,"Not Found")</f>
        <v>S011</v>
      </c>
    </row>
    <row r="297" spans="1:8">
      <c r="A297" t="s">
        <v>1178</v>
      </c>
      <c r="B297" t="s">
        <v>848</v>
      </c>
      <c r="C297" t="s">
        <v>214</v>
      </c>
      <c r="D297">
        <v>100</v>
      </c>
      <c r="E297">
        <v>51.01</v>
      </c>
      <c r="F297">
        <v>5101</v>
      </c>
      <c r="G297">
        <v>22</v>
      </c>
      <c r="H297" t="str">
        <f>_xlfn.XLOOKUP(B297,PurchaseOrders!$A:$A,PurchaseOrders!$B:$B,"Not Found")</f>
        <v>S006</v>
      </c>
    </row>
    <row r="298" spans="1:8">
      <c r="A298" t="s">
        <v>1179</v>
      </c>
      <c r="B298" t="s">
        <v>849</v>
      </c>
      <c r="C298" t="s">
        <v>132</v>
      </c>
      <c r="D298">
        <v>100</v>
      </c>
      <c r="E298">
        <v>45.43</v>
      </c>
      <c r="F298">
        <v>4543</v>
      </c>
      <c r="G298">
        <v>35</v>
      </c>
      <c r="H298" t="str">
        <f>_xlfn.XLOOKUP(B298,PurchaseOrders!$A:$A,PurchaseOrders!$B:$B,"Not Found")</f>
        <v>S010</v>
      </c>
    </row>
    <row r="299" spans="1:8">
      <c r="A299" t="s">
        <v>1180</v>
      </c>
      <c r="B299" t="s">
        <v>850</v>
      </c>
      <c r="C299" t="s">
        <v>68</v>
      </c>
      <c r="D299">
        <v>50</v>
      </c>
      <c r="E299">
        <v>56.74</v>
      </c>
      <c r="F299">
        <v>2837</v>
      </c>
      <c r="G299">
        <v>13</v>
      </c>
      <c r="H299" t="str">
        <f>_xlfn.XLOOKUP(B299,PurchaseOrders!$A:$A,PurchaseOrders!$B:$B,"Not Found")</f>
        <v>S008</v>
      </c>
    </row>
    <row r="300" spans="1:8">
      <c r="A300" t="s">
        <v>1181</v>
      </c>
      <c r="B300" t="s">
        <v>851</v>
      </c>
      <c r="C300" t="s">
        <v>74</v>
      </c>
      <c r="D300">
        <v>20</v>
      </c>
      <c r="E300">
        <v>27.09</v>
      </c>
      <c r="F300">
        <v>541.8</v>
      </c>
      <c r="G300">
        <v>15</v>
      </c>
      <c r="H300" t="str">
        <f>_xlfn.XLOOKUP(B300,PurchaseOrders!$A:$A,PurchaseOrders!$B:$B,"Not Found")</f>
        <v>S002</v>
      </c>
    </row>
    <row r="301" spans="1:8">
      <c r="A301" t="s">
        <v>1182</v>
      </c>
      <c r="B301" t="s">
        <v>852</v>
      </c>
      <c r="C301" t="s">
        <v>122</v>
      </c>
      <c r="D301">
        <v>300</v>
      </c>
      <c r="E301">
        <v>10.86</v>
      </c>
      <c r="F301">
        <v>3258</v>
      </c>
      <c r="G301">
        <v>186</v>
      </c>
      <c r="H301" t="str">
        <f>_xlfn.XLOOKUP(B301,PurchaseOrders!$A:$A,PurchaseOrders!$B:$B,"Not Found")</f>
        <v>S012</v>
      </c>
    </row>
    <row r="302" spans="1:8">
      <c r="A302" t="s">
        <v>1183</v>
      </c>
      <c r="B302" t="s">
        <v>853</v>
      </c>
      <c r="C302" t="s">
        <v>71</v>
      </c>
      <c r="D302">
        <v>20</v>
      </c>
      <c r="E302">
        <v>84.63</v>
      </c>
      <c r="F302">
        <v>1692.6</v>
      </c>
      <c r="G302">
        <v>20</v>
      </c>
      <c r="H302" t="str">
        <f>_xlfn.XLOOKUP(B302,PurchaseOrders!$A:$A,PurchaseOrders!$B:$B,"Not Found")</f>
        <v>S016</v>
      </c>
    </row>
    <row r="303" spans="1:8">
      <c r="A303" t="s">
        <v>1184</v>
      </c>
      <c r="B303" t="s">
        <v>854</v>
      </c>
      <c r="C303" t="s">
        <v>190</v>
      </c>
      <c r="D303">
        <v>100</v>
      </c>
      <c r="E303">
        <v>28.45</v>
      </c>
      <c r="F303">
        <v>2845</v>
      </c>
      <c r="G303">
        <v>0</v>
      </c>
      <c r="H303" t="str">
        <f>_xlfn.XLOOKUP(B303,PurchaseOrders!$A:$A,PurchaseOrders!$B:$B,"Not Found")</f>
        <v>S002</v>
      </c>
    </row>
    <row r="304" spans="1:8">
      <c r="A304" t="s">
        <v>1185</v>
      </c>
      <c r="B304" t="s">
        <v>855</v>
      </c>
      <c r="C304" t="s">
        <v>86</v>
      </c>
      <c r="D304">
        <v>500</v>
      </c>
      <c r="E304">
        <v>17.8</v>
      </c>
      <c r="F304">
        <v>8900</v>
      </c>
      <c r="G304">
        <v>500</v>
      </c>
      <c r="H304" t="str">
        <f>_xlfn.XLOOKUP(B304,PurchaseOrders!$A:$A,PurchaseOrders!$B:$B,"Not Found")</f>
        <v>S017</v>
      </c>
    </row>
    <row r="305" spans="1:8">
      <c r="A305" t="s">
        <v>1186</v>
      </c>
      <c r="B305" t="s">
        <v>856</v>
      </c>
      <c r="C305" t="s">
        <v>152</v>
      </c>
      <c r="D305">
        <v>500</v>
      </c>
      <c r="E305">
        <v>24.55</v>
      </c>
      <c r="F305">
        <v>12275</v>
      </c>
      <c r="G305">
        <v>500</v>
      </c>
      <c r="H305" t="str">
        <f>_xlfn.XLOOKUP(B305,PurchaseOrders!$A:$A,PurchaseOrders!$B:$B,"Not Found")</f>
        <v>S011</v>
      </c>
    </row>
    <row r="306" spans="1:8">
      <c r="A306" t="s">
        <v>1187</v>
      </c>
      <c r="B306" t="s">
        <v>857</v>
      </c>
      <c r="C306" t="s">
        <v>104</v>
      </c>
      <c r="D306">
        <v>150</v>
      </c>
      <c r="E306">
        <v>68.97</v>
      </c>
      <c r="F306">
        <v>10345.5</v>
      </c>
      <c r="G306">
        <v>107</v>
      </c>
      <c r="H306" t="str">
        <f>_xlfn.XLOOKUP(B306,PurchaseOrders!$A:$A,PurchaseOrders!$B:$B,"Not Found")</f>
        <v>S019</v>
      </c>
    </row>
    <row r="307" spans="1:8">
      <c r="A307" t="s">
        <v>1188</v>
      </c>
      <c r="B307" t="s">
        <v>858</v>
      </c>
      <c r="C307" t="s">
        <v>220</v>
      </c>
      <c r="D307">
        <v>20</v>
      </c>
      <c r="E307">
        <v>71.5</v>
      </c>
      <c r="F307">
        <v>1430</v>
      </c>
      <c r="G307">
        <v>20</v>
      </c>
      <c r="H307" t="str">
        <f>_xlfn.XLOOKUP(B307,PurchaseOrders!$A:$A,PurchaseOrders!$B:$B,"Not Found")</f>
        <v>S003</v>
      </c>
    </row>
    <row r="308" spans="1:8">
      <c r="A308" t="s">
        <v>1189</v>
      </c>
      <c r="B308" t="s">
        <v>859</v>
      </c>
      <c r="C308" t="s">
        <v>80</v>
      </c>
      <c r="D308">
        <v>50</v>
      </c>
      <c r="E308">
        <v>48.16</v>
      </c>
      <c r="F308">
        <v>2408</v>
      </c>
      <c r="G308">
        <v>0</v>
      </c>
      <c r="H308" t="str">
        <f>_xlfn.XLOOKUP(B308,PurchaseOrders!$A:$A,PurchaseOrders!$B:$B,"Not Found")</f>
        <v>S004</v>
      </c>
    </row>
    <row r="309" spans="1:8">
      <c r="A309" t="s">
        <v>1190</v>
      </c>
      <c r="B309" t="s">
        <v>860</v>
      </c>
      <c r="C309" t="s">
        <v>194</v>
      </c>
      <c r="D309">
        <v>50</v>
      </c>
      <c r="E309">
        <v>12.14</v>
      </c>
      <c r="F309">
        <v>607</v>
      </c>
      <c r="G309">
        <v>50</v>
      </c>
      <c r="H309" t="str">
        <f>_xlfn.XLOOKUP(B309,PurchaseOrders!$A:$A,PurchaseOrders!$B:$B,"Not Found")</f>
        <v>S002</v>
      </c>
    </row>
    <row r="310" spans="1:8">
      <c r="A310" t="s">
        <v>1191</v>
      </c>
      <c r="B310" t="s">
        <v>861</v>
      </c>
      <c r="C310" t="s">
        <v>126</v>
      </c>
      <c r="D310">
        <v>20</v>
      </c>
      <c r="E310">
        <v>99.51</v>
      </c>
      <c r="F310">
        <v>1990.2</v>
      </c>
      <c r="G310">
        <v>20</v>
      </c>
      <c r="H310" t="str">
        <f>_xlfn.XLOOKUP(B310,PurchaseOrders!$A:$A,PurchaseOrders!$B:$B,"Not Found")</f>
        <v>S013</v>
      </c>
    </row>
    <row r="311" spans="1:8">
      <c r="A311" t="s">
        <v>1192</v>
      </c>
      <c r="B311" t="s">
        <v>862</v>
      </c>
      <c r="C311" t="s">
        <v>120</v>
      </c>
      <c r="D311">
        <v>100</v>
      </c>
      <c r="E311">
        <v>35.98</v>
      </c>
      <c r="F311">
        <v>3598</v>
      </c>
      <c r="G311">
        <v>0</v>
      </c>
      <c r="H311" t="str">
        <f>_xlfn.XLOOKUP(B311,PurchaseOrders!$A:$A,PurchaseOrders!$B:$B,"Not Found")</f>
        <v>S020</v>
      </c>
    </row>
    <row r="312" spans="1:8">
      <c r="A312" t="s">
        <v>1193</v>
      </c>
      <c r="B312" t="s">
        <v>863</v>
      </c>
      <c r="C312" t="s">
        <v>114</v>
      </c>
      <c r="D312">
        <v>300</v>
      </c>
      <c r="E312">
        <v>6.89</v>
      </c>
      <c r="F312">
        <v>2067</v>
      </c>
      <c r="G312">
        <v>300</v>
      </c>
      <c r="H312" t="str">
        <f>_xlfn.XLOOKUP(B312,PurchaseOrders!$A:$A,PurchaseOrders!$B:$B,"Not Found")</f>
        <v>S009</v>
      </c>
    </row>
    <row r="313" spans="1:8">
      <c r="A313" t="s">
        <v>1194</v>
      </c>
      <c r="B313" t="s">
        <v>864</v>
      </c>
      <c r="C313" t="s">
        <v>206</v>
      </c>
      <c r="D313">
        <v>200</v>
      </c>
      <c r="E313">
        <v>61.46</v>
      </c>
      <c r="F313">
        <v>12292</v>
      </c>
      <c r="G313">
        <v>74</v>
      </c>
      <c r="H313" t="str">
        <f>_xlfn.XLOOKUP(B313,PurchaseOrders!$A:$A,PurchaseOrders!$B:$B,"Not Found")</f>
        <v>S017</v>
      </c>
    </row>
    <row r="314" spans="1:8">
      <c r="A314" t="s">
        <v>1195</v>
      </c>
      <c r="B314" t="s">
        <v>865</v>
      </c>
      <c r="C314" t="s">
        <v>114</v>
      </c>
      <c r="D314">
        <v>100</v>
      </c>
      <c r="E314">
        <v>8.04</v>
      </c>
      <c r="F314">
        <v>804</v>
      </c>
      <c r="G314">
        <v>100</v>
      </c>
      <c r="H314" t="str">
        <f>_xlfn.XLOOKUP(B314,PurchaseOrders!$A:$A,PurchaseOrders!$B:$B,"Not Found")</f>
        <v>S012</v>
      </c>
    </row>
    <row r="315" spans="1:8">
      <c r="A315" t="s">
        <v>1196</v>
      </c>
      <c r="B315" t="s">
        <v>866</v>
      </c>
      <c r="C315" t="s">
        <v>222</v>
      </c>
      <c r="D315">
        <v>20</v>
      </c>
      <c r="E315">
        <v>88.6</v>
      </c>
      <c r="F315">
        <v>1772</v>
      </c>
      <c r="G315">
        <v>5</v>
      </c>
      <c r="H315" t="str">
        <f>_xlfn.XLOOKUP(B315,PurchaseOrders!$A:$A,PurchaseOrders!$B:$B,"Not Found")</f>
        <v>S012</v>
      </c>
    </row>
    <row r="316" spans="1:8">
      <c r="A316" t="s">
        <v>1197</v>
      </c>
      <c r="B316" t="s">
        <v>867</v>
      </c>
      <c r="C316" t="s">
        <v>208</v>
      </c>
      <c r="D316">
        <v>20</v>
      </c>
      <c r="E316">
        <v>25.06</v>
      </c>
      <c r="F316">
        <v>501.2</v>
      </c>
      <c r="G316">
        <v>11</v>
      </c>
      <c r="H316" t="str">
        <f>_xlfn.XLOOKUP(B316,PurchaseOrders!$A:$A,PurchaseOrders!$B:$B,"Not Found")</f>
        <v>S005</v>
      </c>
    </row>
    <row r="317" spans="1:8">
      <c r="A317" t="s">
        <v>1198</v>
      </c>
      <c r="B317" t="s">
        <v>868</v>
      </c>
      <c r="C317" t="s">
        <v>124</v>
      </c>
      <c r="D317">
        <v>300</v>
      </c>
      <c r="E317">
        <v>89.1</v>
      </c>
      <c r="F317">
        <v>26730</v>
      </c>
      <c r="G317">
        <v>300</v>
      </c>
      <c r="H317" t="str">
        <f>_xlfn.XLOOKUP(B317,PurchaseOrders!$A:$A,PurchaseOrders!$B:$B,"Not Found")</f>
        <v>S011</v>
      </c>
    </row>
    <row r="318" spans="1:8">
      <c r="A318" t="s">
        <v>1199</v>
      </c>
      <c r="B318" t="s">
        <v>869</v>
      </c>
      <c r="C318" t="s">
        <v>132</v>
      </c>
      <c r="D318">
        <v>500</v>
      </c>
      <c r="E318">
        <v>44.38</v>
      </c>
      <c r="F318">
        <v>22190</v>
      </c>
      <c r="G318">
        <v>395</v>
      </c>
      <c r="H318" t="str">
        <f>_xlfn.XLOOKUP(B318,PurchaseOrders!$A:$A,PurchaseOrders!$B:$B,"Not Found")</f>
        <v>S020</v>
      </c>
    </row>
    <row r="319" spans="1:8">
      <c r="A319" t="s">
        <v>1200</v>
      </c>
      <c r="B319" t="s">
        <v>870</v>
      </c>
      <c r="C319" t="s">
        <v>96</v>
      </c>
      <c r="D319">
        <v>200</v>
      </c>
      <c r="E319">
        <v>96.12</v>
      </c>
      <c r="F319">
        <v>19224</v>
      </c>
      <c r="G319">
        <v>152</v>
      </c>
      <c r="H319" t="str">
        <f>_xlfn.XLOOKUP(B319,PurchaseOrders!$A:$A,PurchaseOrders!$B:$B,"Not Found")</f>
        <v>S018</v>
      </c>
    </row>
    <row r="320" spans="1:8">
      <c r="A320" t="s">
        <v>1201</v>
      </c>
      <c r="B320" t="s">
        <v>871</v>
      </c>
      <c r="C320" t="s">
        <v>118</v>
      </c>
      <c r="D320">
        <v>50</v>
      </c>
      <c r="E320">
        <v>43.74</v>
      </c>
      <c r="F320">
        <v>2187</v>
      </c>
      <c r="G320">
        <v>50</v>
      </c>
      <c r="H320" t="str">
        <f>_xlfn.XLOOKUP(B320,PurchaseOrders!$A:$A,PurchaseOrders!$B:$B,"Not Found")</f>
        <v>S019</v>
      </c>
    </row>
    <row r="321" spans="1:8">
      <c r="A321" t="s">
        <v>1202</v>
      </c>
      <c r="B321" t="s">
        <v>872</v>
      </c>
      <c r="C321" t="s">
        <v>222</v>
      </c>
      <c r="D321">
        <v>50</v>
      </c>
      <c r="E321">
        <v>76.26</v>
      </c>
      <c r="F321">
        <v>3813</v>
      </c>
      <c r="G321">
        <v>0</v>
      </c>
      <c r="H321" t="str">
        <f>_xlfn.XLOOKUP(B321,PurchaseOrders!$A:$A,PurchaseOrders!$B:$B,"Not Found")</f>
        <v>S005</v>
      </c>
    </row>
  </sheetData>
  <autoFilter xmlns:etc="http://www.wps.cn/officeDocument/2017/etCustomData" ref="A1:G321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4.5" outlineLevelCol="5"/>
  <cols>
    <col min="1" max="1" width="12" customWidth="1"/>
    <col min="2" max="2" width="23" customWidth="1"/>
    <col min="3" max="4" width="21" customWidth="1"/>
    <col min="5" max="5" width="24" customWidth="1"/>
    <col min="6" max="6" width="15" customWidth="1"/>
  </cols>
  <sheetData>
    <row r="1" ht="30" customHeight="1" spans="1:6">
      <c r="A1" s="1" t="s">
        <v>31</v>
      </c>
      <c r="B1" s="1" t="s">
        <v>1203</v>
      </c>
      <c r="C1" s="1" t="s">
        <v>1204</v>
      </c>
      <c r="D1" s="1" t="s">
        <v>539</v>
      </c>
      <c r="E1" s="1" t="s">
        <v>1205</v>
      </c>
      <c r="F1" s="1" t="s">
        <v>1206</v>
      </c>
    </row>
    <row r="2" spans="1:6">
      <c r="A2" t="s">
        <v>543</v>
      </c>
      <c r="B2" s="2">
        <v>45692</v>
      </c>
      <c r="C2" s="2">
        <v>45703</v>
      </c>
      <c r="D2" t="s">
        <v>1207</v>
      </c>
      <c r="E2" t="s">
        <v>1207</v>
      </c>
      <c r="F2" t="s">
        <v>1208</v>
      </c>
    </row>
    <row r="3" spans="1:6">
      <c r="A3" t="s">
        <v>547</v>
      </c>
      <c r="B3" s="2">
        <v>45836</v>
      </c>
      <c r="C3" s="2">
        <v>45844</v>
      </c>
      <c r="D3" s="2">
        <v>45859</v>
      </c>
      <c r="E3" s="2">
        <v>45860</v>
      </c>
      <c r="F3" t="s">
        <v>1209</v>
      </c>
    </row>
    <row r="4" spans="1:6">
      <c r="A4" t="s">
        <v>550</v>
      </c>
      <c r="B4" s="2">
        <v>45768</v>
      </c>
      <c r="C4" s="2">
        <v>45772</v>
      </c>
      <c r="D4" t="s">
        <v>1207</v>
      </c>
      <c r="E4" t="s">
        <v>1207</v>
      </c>
      <c r="F4" t="s">
        <v>1209</v>
      </c>
    </row>
    <row r="5" spans="1:6">
      <c r="A5" t="s">
        <v>553</v>
      </c>
      <c r="B5" s="2">
        <v>45808</v>
      </c>
      <c r="C5" s="2">
        <v>45821</v>
      </c>
      <c r="D5" s="2">
        <v>45840</v>
      </c>
      <c r="E5" s="2">
        <v>45841</v>
      </c>
      <c r="F5" t="s">
        <v>1209</v>
      </c>
    </row>
    <row r="6" spans="1:6">
      <c r="A6" t="s">
        <v>554</v>
      </c>
      <c r="B6" s="2">
        <v>45750</v>
      </c>
      <c r="C6" t="s">
        <v>1207</v>
      </c>
      <c r="D6" s="2">
        <v>45778</v>
      </c>
      <c r="E6" s="2">
        <v>45779</v>
      </c>
      <c r="F6" t="s">
        <v>1209</v>
      </c>
    </row>
    <row r="7" spans="1:6">
      <c r="A7" t="s">
        <v>555</v>
      </c>
      <c r="B7" s="2">
        <v>45885</v>
      </c>
      <c r="C7" t="s">
        <v>1207</v>
      </c>
      <c r="D7" s="2">
        <v>45888</v>
      </c>
      <c r="E7" s="2">
        <v>45889</v>
      </c>
      <c r="F7" t="s">
        <v>1209</v>
      </c>
    </row>
    <row r="8" spans="1:6">
      <c r="A8" t="s">
        <v>557</v>
      </c>
      <c r="B8" s="2">
        <v>45840</v>
      </c>
      <c r="C8" s="2">
        <v>45843</v>
      </c>
      <c r="D8" s="2">
        <v>45856</v>
      </c>
      <c r="E8" s="2">
        <v>45857</v>
      </c>
      <c r="F8" t="s">
        <v>1210</v>
      </c>
    </row>
    <row r="9" spans="1:6">
      <c r="A9" t="s">
        <v>559</v>
      </c>
      <c r="B9" s="2">
        <v>45965</v>
      </c>
      <c r="C9" s="2">
        <v>45965</v>
      </c>
      <c r="D9" s="2">
        <v>45968</v>
      </c>
      <c r="E9" s="2">
        <v>45969</v>
      </c>
      <c r="F9" t="s">
        <v>1210</v>
      </c>
    </row>
    <row r="10" spans="1:6">
      <c r="A10" t="s">
        <v>560</v>
      </c>
      <c r="B10" s="2">
        <v>45718</v>
      </c>
      <c r="C10" s="2">
        <v>45731</v>
      </c>
      <c r="D10" s="2">
        <v>45756</v>
      </c>
      <c r="E10" s="2">
        <v>45757</v>
      </c>
      <c r="F10" t="s">
        <v>1209</v>
      </c>
    </row>
    <row r="11" spans="1:6">
      <c r="A11" t="s">
        <v>562</v>
      </c>
      <c r="B11" s="2">
        <v>45830</v>
      </c>
      <c r="C11" s="2">
        <v>45834</v>
      </c>
      <c r="D11" s="2">
        <v>45840</v>
      </c>
      <c r="E11" s="2">
        <v>45841</v>
      </c>
      <c r="F11" t="s">
        <v>1209</v>
      </c>
    </row>
    <row r="12" spans="1:6">
      <c r="A12" t="s">
        <v>563</v>
      </c>
      <c r="B12" s="2">
        <v>45908</v>
      </c>
      <c r="C12" s="2">
        <v>45919</v>
      </c>
      <c r="D12" t="s">
        <v>1207</v>
      </c>
      <c r="E12" t="s">
        <v>1207</v>
      </c>
      <c r="F12" t="s">
        <v>1211</v>
      </c>
    </row>
    <row r="13" spans="1:6">
      <c r="A13" t="s">
        <v>564</v>
      </c>
      <c r="B13" s="2">
        <v>45717</v>
      </c>
      <c r="C13" t="s">
        <v>1207</v>
      </c>
      <c r="D13" s="2">
        <v>45744</v>
      </c>
      <c r="E13" s="2">
        <v>45745</v>
      </c>
      <c r="F13" t="s">
        <v>1209</v>
      </c>
    </row>
    <row r="14" spans="1:6">
      <c r="A14" t="s">
        <v>565</v>
      </c>
      <c r="B14" s="2">
        <v>45740</v>
      </c>
      <c r="C14" s="2">
        <v>45749</v>
      </c>
      <c r="D14" t="s">
        <v>1207</v>
      </c>
      <c r="E14" t="s">
        <v>1207</v>
      </c>
      <c r="F14" t="s">
        <v>1210</v>
      </c>
    </row>
    <row r="15" spans="1:6">
      <c r="A15" t="s">
        <v>566</v>
      </c>
      <c r="B15" s="2">
        <v>46002</v>
      </c>
      <c r="C15" s="2">
        <v>46016</v>
      </c>
      <c r="D15" t="s">
        <v>1207</v>
      </c>
      <c r="E15" t="s">
        <v>1207</v>
      </c>
      <c r="F15" t="s">
        <v>1211</v>
      </c>
    </row>
    <row r="16" spans="1:6">
      <c r="A16" t="s">
        <v>567</v>
      </c>
      <c r="B16" s="2">
        <v>45703</v>
      </c>
      <c r="C16" t="s">
        <v>1207</v>
      </c>
      <c r="D16" s="2">
        <v>45729</v>
      </c>
      <c r="E16" s="2">
        <v>45730</v>
      </c>
      <c r="F16" t="s">
        <v>1209</v>
      </c>
    </row>
    <row r="17" spans="1:6">
      <c r="A17" t="s">
        <v>568</v>
      </c>
      <c r="B17" s="2">
        <v>45803</v>
      </c>
      <c r="C17" s="2">
        <v>45815</v>
      </c>
      <c r="D17" t="s">
        <v>1207</v>
      </c>
      <c r="E17" t="s">
        <v>1207</v>
      </c>
      <c r="F17" t="s">
        <v>1211</v>
      </c>
    </row>
    <row r="18" spans="1:6">
      <c r="A18" t="s">
        <v>569</v>
      </c>
      <c r="B18" s="2">
        <v>45965</v>
      </c>
      <c r="C18" s="2">
        <v>45972</v>
      </c>
      <c r="D18" s="2">
        <v>45979</v>
      </c>
      <c r="E18" s="2">
        <v>45980</v>
      </c>
      <c r="F18" t="s">
        <v>1209</v>
      </c>
    </row>
    <row r="19" spans="1:6">
      <c r="A19" t="s">
        <v>570</v>
      </c>
      <c r="B19" s="2">
        <v>45702</v>
      </c>
      <c r="C19" s="2">
        <v>45703</v>
      </c>
      <c r="D19" s="2">
        <v>45707</v>
      </c>
      <c r="E19" s="2">
        <v>45708</v>
      </c>
      <c r="F19" t="s">
        <v>1208</v>
      </c>
    </row>
    <row r="20" spans="1:6">
      <c r="A20" t="s">
        <v>571</v>
      </c>
      <c r="B20" s="2">
        <v>45850</v>
      </c>
      <c r="C20" s="2">
        <v>45859</v>
      </c>
      <c r="D20" t="s">
        <v>1207</v>
      </c>
      <c r="E20" t="s">
        <v>1207</v>
      </c>
      <c r="F20" t="s">
        <v>1212</v>
      </c>
    </row>
    <row r="21" spans="1:6">
      <c r="A21" t="s">
        <v>572</v>
      </c>
      <c r="B21" s="2">
        <v>45719</v>
      </c>
      <c r="C21" s="2">
        <v>45721</v>
      </c>
      <c r="D21" s="2">
        <v>45725</v>
      </c>
      <c r="E21" s="2">
        <v>45726</v>
      </c>
      <c r="F21" t="s">
        <v>1209</v>
      </c>
    </row>
    <row r="22" spans="1:6">
      <c r="A22" t="s">
        <v>573</v>
      </c>
      <c r="B22" s="2">
        <v>45879</v>
      </c>
      <c r="C22" t="s">
        <v>1207</v>
      </c>
      <c r="D22" s="2">
        <v>45894</v>
      </c>
      <c r="E22" s="2">
        <v>45895</v>
      </c>
      <c r="F22" t="s">
        <v>1209</v>
      </c>
    </row>
    <row r="23" spans="1:6">
      <c r="A23" t="s">
        <v>574</v>
      </c>
      <c r="B23" s="2">
        <v>45879</v>
      </c>
      <c r="C23" s="2">
        <v>45880</v>
      </c>
      <c r="D23" t="s">
        <v>1207</v>
      </c>
      <c r="E23" t="s">
        <v>1207</v>
      </c>
      <c r="F23" t="s">
        <v>1208</v>
      </c>
    </row>
    <row r="24" spans="1:6">
      <c r="A24" t="s">
        <v>575</v>
      </c>
      <c r="B24" s="2">
        <v>45857</v>
      </c>
      <c r="C24" s="2">
        <v>45857</v>
      </c>
      <c r="D24" s="2">
        <v>45862</v>
      </c>
      <c r="E24" s="2">
        <v>45863</v>
      </c>
      <c r="F24" t="s">
        <v>1209</v>
      </c>
    </row>
    <row r="25" spans="1:6">
      <c r="A25" t="s">
        <v>576</v>
      </c>
      <c r="B25" s="2">
        <v>45715</v>
      </c>
      <c r="C25" t="s">
        <v>1207</v>
      </c>
      <c r="D25" s="2">
        <v>45713</v>
      </c>
      <c r="E25" s="2">
        <v>45714</v>
      </c>
      <c r="F25" t="s">
        <v>1209</v>
      </c>
    </row>
    <row r="26" spans="1:6">
      <c r="A26" t="s">
        <v>577</v>
      </c>
      <c r="B26" s="2">
        <v>45745</v>
      </c>
      <c r="C26" s="2">
        <v>45753</v>
      </c>
      <c r="D26" s="2">
        <v>45767</v>
      </c>
      <c r="E26" s="2">
        <v>45768</v>
      </c>
      <c r="F26" t="s">
        <v>1209</v>
      </c>
    </row>
    <row r="27" spans="1:6">
      <c r="A27" t="s">
        <v>578</v>
      </c>
      <c r="B27" s="2">
        <v>45985</v>
      </c>
      <c r="C27" s="2">
        <v>45984</v>
      </c>
      <c r="D27" t="s">
        <v>1207</v>
      </c>
      <c r="E27" t="s">
        <v>1207</v>
      </c>
      <c r="F27" t="s">
        <v>1211</v>
      </c>
    </row>
    <row r="28" spans="1:6">
      <c r="A28" t="s">
        <v>579</v>
      </c>
      <c r="B28" s="2">
        <v>45857</v>
      </c>
      <c r="C28" s="2">
        <v>45857</v>
      </c>
      <c r="D28" s="2">
        <v>45865</v>
      </c>
      <c r="E28" s="2">
        <v>45866</v>
      </c>
      <c r="F28" t="s">
        <v>1209</v>
      </c>
    </row>
    <row r="29" spans="1:6">
      <c r="A29" t="s">
        <v>580</v>
      </c>
      <c r="B29" s="2">
        <v>45716</v>
      </c>
      <c r="C29" s="2">
        <v>45720</v>
      </c>
      <c r="D29" s="2">
        <v>45739</v>
      </c>
      <c r="E29" s="2">
        <v>45740</v>
      </c>
      <c r="F29" t="s">
        <v>1209</v>
      </c>
    </row>
    <row r="30" spans="1:6">
      <c r="A30" t="s">
        <v>581</v>
      </c>
      <c r="B30" s="2">
        <v>45928</v>
      </c>
      <c r="C30" s="2">
        <v>45941</v>
      </c>
      <c r="D30" s="2">
        <v>45954</v>
      </c>
      <c r="E30" s="2">
        <v>45955</v>
      </c>
      <c r="F30" t="s">
        <v>1209</v>
      </c>
    </row>
    <row r="31" spans="1:6">
      <c r="A31" t="s">
        <v>582</v>
      </c>
      <c r="B31" s="2">
        <v>45871</v>
      </c>
      <c r="C31" t="s">
        <v>1207</v>
      </c>
      <c r="D31" s="2">
        <v>45891</v>
      </c>
      <c r="E31" s="2">
        <v>45892</v>
      </c>
      <c r="F31" t="s">
        <v>1209</v>
      </c>
    </row>
    <row r="32" spans="1:6">
      <c r="A32" t="s">
        <v>583</v>
      </c>
      <c r="B32" s="2">
        <v>45685</v>
      </c>
      <c r="C32" t="s">
        <v>1207</v>
      </c>
      <c r="D32" t="s">
        <v>1207</v>
      </c>
      <c r="E32" t="s">
        <v>1207</v>
      </c>
      <c r="F32" t="s">
        <v>1212</v>
      </c>
    </row>
    <row r="33" spans="1:6">
      <c r="A33" t="s">
        <v>584</v>
      </c>
      <c r="B33" s="2">
        <v>45696</v>
      </c>
      <c r="C33" s="2">
        <v>45699</v>
      </c>
      <c r="D33" s="2">
        <v>45704</v>
      </c>
      <c r="E33" s="2">
        <v>45705</v>
      </c>
      <c r="F33" t="s">
        <v>1211</v>
      </c>
    </row>
    <row r="34" spans="1:6">
      <c r="A34" t="s">
        <v>585</v>
      </c>
      <c r="B34" s="2">
        <v>45864</v>
      </c>
      <c r="C34" s="2">
        <v>45871</v>
      </c>
      <c r="D34" s="2">
        <v>45879</v>
      </c>
      <c r="E34" s="2">
        <v>45880</v>
      </c>
      <c r="F34" t="s">
        <v>1209</v>
      </c>
    </row>
    <row r="35" spans="1:6">
      <c r="A35" t="s">
        <v>586</v>
      </c>
      <c r="B35" s="2">
        <v>45843</v>
      </c>
      <c r="C35" s="2">
        <v>45843</v>
      </c>
      <c r="D35" s="2">
        <v>45853</v>
      </c>
      <c r="E35" s="2">
        <v>45854</v>
      </c>
      <c r="F35" t="s">
        <v>1209</v>
      </c>
    </row>
    <row r="36" spans="1:6">
      <c r="A36" t="s">
        <v>587</v>
      </c>
      <c r="B36" s="2">
        <v>45805</v>
      </c>
      <c r="C36" s="2">
        <v>45808</v>
      </c>
      <c r="D36" s="2">
        <v>45818</v>
      </c>
      <c r="E36" s="2">
        <v>45819</v>
      </c>
      <c r="F36" t="s">
        <v>1209</v>
      </c>
    </row>
    <row r="37" spans="1:6">
      <c r="A37" t="s">
        <v>588</v>
      </c>
      <c r="B37" s="2">
        <v>45777</v>
      </c>
      <c r="C37" s="2">
        <v>45781</v>
      </c>
      <c r="D37" s="2">
        <v>45790</v>
      </c>
      <c r="E37" s="2">
        <v>45791</v>
      </c>
      <c r="F37" t="s">
        <v>1209</v>
      </c>
    </row>
    <row r="38" spans="1:6">
      <c r="A38" t="s">
        <v>589</v>
      </c>
      <c r="B38" s="2">
        <v>45736</v>
      </c>
      <c r="C38" s="2">
        <v>45744</v>
      </c>
      <c r="D38" t="s">
        <v>1207</v>
      </c>
      <c r="E38" t="s">
        <v>1207</v>
      </c>
      <c r="F38" t="s">
        <v>1208</v>
      </c>
    </row>
    <row r="39" spans="1:6">
      <c r="A39" t="s">
        <v>590</v>
      </c>
      <c r="B39" s="2">
        <v>45752</v>
      </c>
      <c r="C39" s="2">
        <v>45765</v>
      </c>
      <c r="D39" s="2">
        <v>45778</v>
      </c>
      <c r="E39" s="2">
        <v>45779</v>
      </c>
      <c r="F39" t="s">
        <v>1209</v>
      </c>
    </row>
    <row r="40" spans="1:6">
      <c r="A40" t="s">
        <v>591</v>
      </c>
      <c r="B40" s="2">
        <v>45878</v>
      </c>
      <c r="C40" s="2">
        <v>45880</v>
      </c>
      <c r="D40" s="2">
        <v>45887</v>
      </c>
      <c r="E40" s="2">
        <v>45888</v>
      </c>
      <c r="F40" t="s">
        <v>1209</v>
      </c>
    </row>
    <row r="41" spans="1:6">
      <c r="A41" t="s">
        <v>592</v>
      </c>
      <c r="B41" s="2">
        <v>45826</v>
      </c>
      <c r="C41" s="2">
        <v>45827</v>
      </c>
      <c r="D41" s="2">
        <v>45829</v>
      </c>
      <c r="E41" s="2">
        <v>45830</v>
      </c>
      <c r="F41" t="s">
        <v>1209</v>
      </c>
    </row>
    <row r="42" spans="1:6">
      <c r="A42" t="s">
        <v>593</v>
      </c>
      <c r="B42" s="2">
        <v>45900</v>
      </c>
      <c r="C42" t="s">
        <v>1207</v>
      </c>
      <c r="D42" s="2">
        <v>45911</v>
      </c>
      <c r="E42" s="2">
        <v>45912</v>
      </c>
      <c r="F42" t="s">
        <v>1210</v>
      </c>
    </row>
    <row r="43" spans="1:6">
      <c r="A43" t="s">
        <v>594</v>
      </c>
      <c r="B43" s="2">
        <v>45982</v>
      </c>
      <c r="C43" s="2">
        <v>45982</v>
      </c>
      <c r="D43" t="s">
        <v>1207</v>
      </c>
      <c r="E43" t="s">
        <v>1207</v>
      </c>
      <c r="F43" t="s">
        <v>1209</v>
      </c>
    </row>
    <row r="44" spans="1:6">
      <c r="A44" t="s">
        <v>595</v>
      </c>
      <c r="B44" s="2">
        <v>45928</v>
      </c>
      <c r="C44" s="2">
        <v>45926</v>
      </c>
      <c r="D44" t="s">
        <v>1207</v>
      </c>
      <c r="E44" t="s">
        <v>1207</v>
      </c>
      <c r="F44" t="s">
        <v>1210</v>
      </c>
    </row>
    <row r="45" spans="1:6">
      <c r="A45" t="s">
        <v>596</v>
      </c>
      <c r="B45" s="2">
        <v>45665</v>
      </c>
      <c r="C45" s="2">
        <v>45667</v>
      </c>
      <c r="D45" s="2">
        <v>45676</v>
      </c>
      <c r="E45" s="2">
        <v>45677</v>
      </c>
      <c r="F45" t="s">
        <v>1209</v>
      </c>
    </row>
    <row r="46" spans="1:6">
      <c r="A46" t="s">
        <v>597</v>
      </c>
      <c r="B46" s="2">
        <v>45985</v>
      </c>
      <c r="C46" s="2">
        <v>45985</v>
      </c>
      <c r="D46" s="2">
        <v>45995</v>
      </c>
      <c r="E46" s="2">
        <v>45996</v>
      </c>
      <c r="F46" t="s">
        <v>1209</v>
      </c>
    </row>
    <row r="47" spans="1:6">
      <c r="A47" t="s">
        <v>598</v>
      </c>
      <c r="B47" s="2">
        <v>45858</v>
      </c>
      <c r="C47" s="2">
        <v>45860</v>
      </c>
      <c r="D47" t="s">
        <v>1207</v>
      </c>
      <c r="E47" t="s">
        <v>1207</v>
      </c>
      <c r="F47" t="s">
        <v>1212</v>
      </c>
    </row>
    <row r="48" spans="1:6">
      <c r="A48" t="s">
        <v>599</v>
      </c>
      <c r="B48" s="2">
        <v>45998</v>
      </c>
      <c r="C48" s="2">
        <v>46014</v>
      </c>
      <c r="D48" t="s">
        <v>1207</v>
      </c>
      <c r="E48" t="s">
        <v>1207</v>
      </c>
      <c r="F48" t="s">
        <v>1208</v>
      </c>
    </row>
    <row r="49" spans="1:6">
      <c r="A49" t="s">
        <v>600</v>
      </c>
      <c r="B49" s="2">
        <v>45933</v>
      </c>
      <c r="C49" s="2">
        <v>45936</v>
      </c>
      <c r="D49" s="2">
        <v>45942</v>
      </c>
      <c r="E49" s="2">
        <v>45943</v>
      </c>
      <c r="F49" t="s">
        <v>1211</v>
      </c>
    </row>
    <row r="50" spans="1:6">
      <c r="A50" t="s">
        <v>601</v>
      </c>
      <c r="B50" s="2">
        <v>45747</v>
      </c>
      <c r="C50" s="2">
        <v>45754</v>
      </c>
      <c r="D50" s="2">
        <v>45766</v>
      </c>
      <c r="E50" s="2">
        <v>45767</v>
      </c>
      <c r="F50" t="s">
        <v>1209</v>
      </c>
    </row>
    <row r="51" spans="1:6">
      <c r="A51" t="s">
        <v>602</v>
      </c>
      <c r="B51" s="2">
        <v>45750</v>
      </c>
      <c r="C51" s="2">
        <v>45761</v>
      </c>
      <c r="D51" s="2">
        <v>45795</v>
      </c>
      <c r="E51" s="2">
        <v>45796</v>
      </c>
      <c r="F51" t="s">
        <v>1209</v>
      </c>
    </row>
    <row r="52" spans="1:6">
      <c r="A52" t="s">
        <v>603</v>
      </c>
      <c r="B52" s="2">
        <v>45786</v>
      </c>
      <c r="C52" s="2">
        <v>45788</v>
      </c>
      <c r="D52" s="2">
        <v>45790</v>
      </c>
      <c r="E52" s="2">
        <v>45791</v>
      </c>
      <c r="F52" t="s">
        <v>1210</v>
      </c>
    </row>
    <row r="53" spans="1:6">
      <c r="A53" t="s">
        <v>604</v>
      </c>
      <c r="B53" s="2">
        <v>45723</v>
      </c>
      <c r="C53" s="2">
        <v>45735</v>
      </c>
      <c r="D53" t="s">
        <v>1207</v>
      </c>
      <c r="E53" t="s">
        <v>1207</v>
      </c>
      <c r="F53" t="s">
        <v>1208</v>
      </c>
    </row>
    <row r="54" spans="1:6">
      <c r="A54" t="s">
        <v>605</v>
      </c>
      <c r="B54" s="2">
        <v>45668</v>
      </c>
      <c r="C54" s="2">
        <v>45677</v>
      </c>
      <c r="D54" t="s">
        <v>1207</v>
      </c>
      <c r="E54" t="s">
        <v>1207</v>
      </c>
      <c r="F54" t="s">
        <v>1212</v>
      </c>
    </row>
    <row r="55" spans="1:6">
      <c r="A55" t="s">
        <v>606</v>
      </c>
      <c r="B55" s="2">
        <v>45823</v>
      </c>
      <c r="C55" s="2">
        <v>45828</v>
      </c>
      <c r="D55" s="2">
        <v>45828</v>
      </c>
      <c r="E55" s="2">
        <v>45829</v>
      </c>
      <c r="F55" t="s">
        <v>1210</v>
      </c>
    </row>
    <row r="56" spans="1:6">
      <c r="A56" t="s">
        <v>607</v>
      </c>
      <c r="B56" s="2">
        <v>45742</v>
      </c>
      <c r="C56" s="2">
        <v>45744</v>
      </c>
      <c r="D56" s="2">
        <v>45757</v>
      </c>
      <c r="E56" s="2">
        <v>45758</v>
      </c>
      <c r="F56" t="s">
        <v>1211</v>
      </c>
    </row>
    <row r="57" spans="1:6">
      <c r="A57" t="s">
        <v>608</v>
      </c>
      <c r="B57" s="2">
        <v>45706</v>
      </c>
      <c r="C57" s="2">
        <v>45710</v>
      </c>
      <c r="D57" t="s">
        <v>1207</v>
      </c>
      <c r="E57" t="s">
        <v>1207</v>
      </c>
      <c r="F57" t="s">
        <v>1208</v>
      </c>
    </row>
    <row r="58" spans="1:6">
      <c r="A58" t="s">
        <v>609</v>
      </c>
      <c r="B58" s="2">
        <v>46004</v>
      </c>
      <c r="C58" s="2">
        <v>46013</v>
      </c>
      <c r="D58" t="s">
        <v>1207</v>
      </c>
      <c r="E58" t="s">
        <v>1207</v>
      </c>
      <c r="F58" t="s">
        <v>1209</v>
      </c>
    </row>
    <row r="59" spans="1:6">
      <c r="A59" t="s">
        <v>610</v>
      </c>
      <c r="B59" s="2">
        <v>45917</v>
      </c>
      <c r="C59" s="2">
        <v>45922</v>
      </c>
      <c r="D59" s="2">
        <v>45938</v>
      </c>
      <c r="E59" s="2">
        <v>45939</v>
      </c>
      <c r="F59" t="s">
        <v>1209</v>
      </c>
    </row>
    <row r="60" spans="1:6">
      <c r="A60" t="s">
        <v>611</v>
      </c>
      <c r="B60" s="2">
        <v>45875</v>
      </c>
      <c r="C60" t="s">
        <v>1207</v>
      </c>
      <c r="D60" s="2">
        <v>45876</v>
      </c>
      <c r="E60" s="2">
        <v>45877</v>
      </c>
      <c r="F60" t="s">
        <v>1209</v>
      </c>
    </row>
    <row r="61" spans="1:6">
      <c r="A61" t="s">
        <v>612</v>
      </c>
      <c r="B61" s="2">
        <v>45906</v>
      </c>
      <c r="C61" s="2">
        <v>45906</v>
      </c>
      <c r="D61" s="2">
        <v>45919</v>
      </c>
      <c r="E61" s="2">
        <v>45920</v>
      </c>
      <c r="F61" t="s">
        <v>1209</v>
      </c>
    </row>
    <row r="62" spans="1:6">
      <c r="A62" t="s">
        <v>613</v>
      </c>
      <c r="B62" s="2">
        <v>45740</v>
      </c>
      <c r="C62" s="2">
        <v>45747</v>
      </c>
      <c r="D62" s="2">
        <v>45771</v>
      </c>
      <c r="E62" s="2">
        <v>45772</v>
      </c>
      <c r="F62" t="s">
        <v>1209</v>
      </c>
    </row>
    <row r="63" spans="1:6">
      <c r="A63" t="s">
        <v>614</v>
      </c>
      <c r="B63" s="2">
        <v>45823</v>
      </c>
      <c r="C63" s="2">
        <v>45835</v>
      </c>
      <c r="D63" t="s">
        <v>1207</v>
      </c>
      <c r="E63" t="s">
        <v>1207</v>
      </c>
      <c r="F63" t="s">
        <v>1208</v>
      </c>
    </row>
    <row r="64" spans="1:6">
      <c r="A64" t="s">
        <v>615</v>
      </c>
      <c r="B64" s="2">
        <v>45687</v>
      </c>
      <c r="C64" s="2">
        <v>45688</v>
      </c>
      <c r="D64" s="2">
        <v>45696</v>
      </c>
      <c r="E64" s="2">
        <v>45697</v>
      </c>
      <c r="F64" t="s">
        <v>1209</v>
      </c>
    </row>
    <row r="65" spans="1:6">
      <c r="A65" t="s">
        <v>616</v>
      </c>
      <c r="B65" s="2">
        <v>45717</v>
      </c>
      <c r="C65" s="2">
        <v>45722</v>
      </c>
      <c r="D65" s="2">
        <v>45738</v>
      </c>
      <c r="E65" s="2">
        <v>45739</v>
      </c>
      <c r="F65" t="s">
        <v>1209</v>
      </c>
    </row>
    <row r="66" spans="1:6">
      <c r="A66" t="s">
        <v>617</v>
      </c>
      <c r="B66" s="2">
        <v>45811</v>
      </c>
      <c r="C66" t="s">
        <v>1207</v>
      </c>
      <c r="D66" s="2">
        <v>45805</v>
      </c>
      <c r="E66" s="2">
        <v>45806</v>
      </c>
      <c r="F66" t="s">
        <v>1209</v>
      </c>
    </row>
    <row r="67" spans="1:6">
      <c r="A67" t="s">
        <v>618</v>
      </c>
      <c r="B67" s="2">
        <v>45809</v>
      </c>
      <c r="C67" t="s">
        <v>1207</v>
      </c>
      <c r="D67" s="2">
        <v>45830</v>
      </c>
      <c r="E67" s="2">
        <v>45831</v>
      </c>
      <c r="F67" t="s">
        <v>1211</v>
      </c>
    </row>
    <row r="68" spans="1:6">
      <c r="A68" t="s">
        <v>619</v>
      </c>
      <c r="B68" s="2">
        <v>45765</v>
      </c>
      <c r="C68" s="2">
        <v>45763</v>
      </c>
      <c r="D68" t="s">
        <v>1207</v>
      </c>
      <c r="E68" t="s">
        <v>1207</v>
      </c>
      <c r="F68" t="s">
        <v>1212</v>
      </c>
    </row>
    <row r="69" spans="1:6">
      <c r="A69" t="s">
        <v>620</v>
      </c>
      <c r="B69" s="2">
        <v>45682</v>
      </c>
      <c r="C69" t="s">
        <v>1207</v>
      </c>
      <c r="D69" t="s">
        <v>1207</v>
      </c>
      <c r="E69" t="s">
        <v>1207</v>
      </c>
      <c r="F69" t="s">
        <v>1209</v>
      </c>
    </row>
    <row r="70" spans="1:6">
      <c r="A70" t="s">
        <v>621</v>
      </c>
      <c r="B70" s="2">
        <v>45925</v>
      </c>
      <c r="C70" t="s">
        <v>1207</v>
      </c>
      <c r="D70" s="2">
        <v>45939</v>
      </c>
      <c r="E70" s="2">
        <v>45940</v>
      </c>
      <c r="F70" t="s">
        <v>1209</v>
      </c>
    </row>
    <row r="71" spans="1:6">
      <c r="A71" t="s">
        <v>622</v>
      </c>
      <c r="B71" s="2">
        <v>45835</v>
      </c>
      <c r="C71" t="s">
        <v>1207</v>
      </c>
      <c r="D71" t="s">
        <v>1207</v>
      </c>
      <c r="E71" t="s">
        <v>1207</v>
      </c>
      <c r="F71" t="s">
        <v>1208</v>
      </c>
    </row>
    <row r="72" spans="1:6">
      <c r="A72" t="s">
        <v>623</v>
      </c>
      <c r="B72" s="2">
        <v>45736</v>
      </c>
      <c r="C72" t="s">
        <v>1207</v>
      </c>
      <c r="D72" t="s">
        <v>1207</v>
      </c>
      <c r="E72" t="s">
        <v>1207</v>
      </c>
      <c r="F72" t="s">
        <v>1211</v>
      </c>
    </row>
    <row r="73" spans="1:6">
      <c r="A73" t="s">
        <v>624</v>
      </c>
      <c r="B73" s="2">
        <v>45660</v>
      </c>
      <c r="C73" s="2">
        <v>45670</v>
      </c>
      <c r="D73" s="2">
        <v>45673</v>
      </c>
      <c r="E73" s="2">
        <v>45674</v>
      </c>
      <c r="F73" t="s">
        <v>1209</v>
      </c>
    </row>
    <row r="74" spans="1:6">
      <c r="A74" t="s">
        <v>625</v>
      </c>
      <c r="B74" s="2">
        <v>45743</v>
      </c>
      <c r="C74" s="2">
        <v>45750</v>
      </c>
      <c r="D74" s="2">
        <v>45756</v>
      </c>
      <c r="E74" s="2">
        <v>45757</v>
      </c>
      <c r="F74" t="s">
        <v>1209</v>
      </c>
    </row>
    <row r="75" spans="1:6">
      <c r="A75" t="s">
        <v>626</v>
      </c>
      <c r="B75" s="2">
        <v>45838</v>
      </c>
      <c r="C75" s="2">
        <v>45838</v>
      </c>
      <c r="D75" s="2">
        <v>45826</v>
      </c>
      <c r="E75" s="2">
        <v>45827</v>
      </c>
      <c r="F75" t="s">
        <v>1209</v>
      </c>
    </row>
    <row r="76" spans="1:6">
      <c r="A76" t="s">
        <v>627</v>
      </c>
      <c r="B76" s="2">
        <v>45958</v>
      </c>
      <c r="C76" s="2">
        <v>45961</v>
      </c>
      <c r="D76" s="2">
        <v>45970</v>
      </c>
      <c r="E76" s="2">
        <v>45971</v>
      </c>
      <c r="F76" t="s">
        <v>1209</v>
      </c>
    </row>
    <row r="77" spans="1:6">
      <c r="A77" t="s">
        <v>628</v>
      </c>
      <c r="B77" s="2">
        <v>45718</v>
      </c>
      <c r="C77" s="2">
        <v>45727</v>
      </c>
      <c r="D77" t="s">
        <v>1207</v>
      </c>
      <c r="E77" t="s">
        <v>1207</v>
      </c>
      <c r="F77" t="s">
        <v>1210</v>
      </c>
    </row>
    <row r="78" spans="1:6">
      <c r="A78" t="s">
        <v>629</v>
      </c>
      <c r="B78" s="2">
        <v>45868</v>
      </c>
      <c r="C78" s="2">
        <v>45879</v>
      </c>
      <c r="D78" t="s">
        <v>1207</v>
      </c>
      <c r="E78" t="s">
        <v>1207</v>
      </c>
      <c r="F78" t="s">
        <v>1212</v>
      </c>
    </row>
    <row r="79" spans="1:6">
      <c r="A79" t="s">
        <v>630</v>
      </c>
      <c r="B79" s="2">
        <v>45734</v>
      </c>
      <c r="C79" t="s">
        <v>1207</v>
      </c>
      <c r="D79" s="2">
        <v>45720</v>
      </c>
      <c r="E79" s="2">
        <v>45721</v>
      </c>
      <c r="F79" t="s">
        <v>1209</v>
      </c>
    </row>
    <row r="80" spans="1:6">
      <c r="A80" t="s">
        <v>631</v>
      </c>
      <c r="B80" s="2">
        <v>45772</v>
      </c>
      <c r="C80" s="2">
        <v>45781</v>
      </c>
      <c r="D80" s="2">
        <v>45803</v>
      </c>
      <c r="E80" s="2">
        <v>45804</v>
      </c>
      <c r="F80" t="s">
        <v>1209</v>
      </c>
    </row>
    <row r="81" spans="1:6">
      <c r="A81" t="s">
        <v>632</v>
      </c>
      <c r="B81" s="2">
        <v>45888</v>
      </c>
      <c r="C81" s="2">
        <v>45892</v>
      </c>
      <c r="D81" s="2">
        <v>45895</v>
      </c>
      <c r="E81" s="2">
        <v>45896</v>
      </c>
      <c r="F81" t="s">
        <v>1209</v>
      </c>
    </row>
    <row r="82" spans="1:6">
      <c r="A82" t="s">
        <v>633</v>
      </c>
      <c r="B82" s="2">
        <v>45912</v>
      </c>
      <c r="C82" s="2">
        <v>45913</v>
      </c>
      <c r="D82" t="s">
        <v>1207</v>
      </c>
      <c r="E82" t="s">
        <v>1207</v>
      </c>
      <c r="F82" t="s">
        <v>1209</v>
      </c>
    </row>
    <row r="83" spans="1:6">
      <c r="A83" t="s">
        <v>634</v>
      </c>
      <c r="B83" s="2">
        <v>45709</v>
      </c>
      <c r="C83" s="2">
        <v>45713</v>
      </c>
      <c r="D83" s="2">
        <v>45724</v>
      </c>
      <c r="E83" s="2">
        <v>45725</v>
      </c>
      <c r="F83" t="s">
        <v>1212</v>
      </c>
    </row>
    <row r="84" spans="1:6">
      <c r="A84" t="s">
        <v>635</v>
      </c>
      <c r="B84" s="2">
        <v>45687</v>
      </c>
      <c r="C84" t="s">
        <v>1207</v>
      </c>
      <c r="D84" s="2">
        <v>45712</v>
      </c>
      <c r="E84" s="2">
        <v>45713</v>
      </c>
      <c r="F84" t="s">
        <v>1209</v>
      </c>
    </row>
    <row r="85" spans="1:6">
      <c r="A85" t="s">
        <v>636</v>
      </c>
      <c r="B85" s="2">
        <v>45725</v>
      </c>
      <c r="C85" t="s">
        <v>1207</v>
      </c>
      <c r="D85" s="2">
        <v>45730</v>
      </c>
      <c r="E85" s="2">
        <v>45731</v>
      </c>
      <c r="F85" t="s">
        <v>1209</v>
      </c>
    </row>
    <row r="86" spans="1:6">
      <c r="A86" t="s">
        <v>637</v>
      </c>
      <c r="B86" s="2">
        <v>45765</v>
      </c>
      <c r="C86" s="2">
        <v>45773</v>
      </c>
      <c r="D86" s="2">
        <v>45782</v>
      </c>
      <c r="E86" s="2">
        <v>45783</v>
      </c>
      <c r="F86" t="s">
        <v>1210</v>
      </c>
    </row>
    <row r="87" spans="1:6">
      <c r="A87" t="s">
        <v>638</v>
      </c>
      <c r="B87" s="2">
        <v>45663</v>
      </c>
      <c r="C87" s="2">
        <v>45665</v>
      </c>
      <c r="D87" s="2">
        <v>45671</v>
      </c>
      <c r="E87" s="2">
        <v>45672</v>
      </c>
      <c r="F87" t="s">
        <v>1209</v>
      </c>
    </row>
    <row r="88" spans="1:6">
      <c r="A88" t="s">
        <v>639</v>
      </c>
      <c r="B88" s="2">
        <v>45668</v>
      </c>
      <c r="C88" s="2">
        <v>45685</v>
      </c>
      <c r="D88" t="s">
        <v>1207</v>
      </c>
      <c r="E88" t="s">
        <v>1207</v>
      </c>
      <c r="F88" t="s">
        <v>1212</v>
      </c>
    </row>
    <row r="89" spans="1:6">
      <c r="A89" t="s">
        <v>640</v>
      </c>
      <c r="B89" s="2">
        <v>45912</v>
      </c>
      <c r="C89" s="2">
        <v>45916</v>
      </c>
      <c r="D89" s="2">
        <v>45928</v>
      </c>
      <c r="E89" s="2">
        <v>45929</v>
      </c>
      <c r="F89" t="s">
        <v>1209</v>
      </c>
    </row>
    <row r="90" spans="1:6">
      <c r="A90" t="s">
        <v>641</v>
      </c>
      <c r="B90" s="2">
        <v>45939</v>
      </c>
      <c r="C90" s="2">
        <v>45948</v>
      </c>
      <c r="D90" s="2">
        <v>45959</v>
      </c>
      <c r="E90" s="2">
        <v>45960</v>
      </c>
      <c r="F90" t="s">
        <v>1209</v>
      </c>
    </row>
    <row r="91" spans="1:6">
      <c r="A91" t="s">
        <v>642</v>
      </c>
      <c r="B91" s="2">
        <v>45829</v>
      </c>
      <c r="C91" s="2">
        <v>45832</v>
      </c>
      <c r="D91" s="2">
        <v>45843</v>
      </c>
      <c r="E91" s="2">
        <v>45844</v>
      </c>
      <c r="F91" t="s">
        <v>1209</v>
      </c>
    </row>
    <row r="92" spans="1:6">
      <c r="A92" t="s">
        <v>643</v>
      </c>
      <c r="B92" s="2">
        <v>45937</v>
      </c>
      <c r="C92" s="2">
        <v>45940</v>
      </c>
      <c r="D92" s="2">
        <v>45942</v>
      </c>
      <c r="E92" s="2">
        <v>45943</v>
      </c>
      <c r="F92" t="s">
        <v>1209</v>
      </c>
    </row>
    <row r="93" spans="1:6">
      <c r="A93" t="s">
        <v>644</v>
      </c>
      <c r="B93" s="2">
        <v>45927</v>
      </c>
      <c r="C93" s="2">
        <v>45931</v>
      </c>
      <c r="D93" s="2">
        <v>45934</v>
      </c>
      <c r="E93" s="2">
        <v>45935</v>
      </c>
      <c r="F93" t="s">
        <v>1209</v>
      </c>
    </row>
    <row r="94" spans="1:6">
      <c r="A94" t="s">
        <v>645</v>
      </c>
      <c r="B94" s="2">
        <v>45801</v>
      </c>
      <c r="C94" t="s">
        <v>1207</v>
      </c>
      <c r="D94" t="s">
        <v>1207</v>
      </c>
      <c r="E94" t="s">
        <v>1207</v>
      </c>
      <c r="F94" t="s">
        <v>1212</v>
      </c>
    </row>
    <row r="95" spans="1:6">
      <c r="A95" t="s">
        <v>646</v>
      </c>
      <c r="B95" s="2">
        <v>45764</v>
      </c>
      <c r="C95" t="s">
        <v>1207</v>
      </c>
      <c r="D95" s="2">
        <v>45779</v>
      </c>
      <c r="E95" s="2">
        <v>45780</v>
      </c>
      <c r="F95" t="s">
        <v>1209</v>
      </c>
    </row>
    <row r="96" spans="1:6">
      <c r="A96" t="s">
        <v>647</v>
      </c>
      <c r="B96" s="2">
        <v>45686</v>
      </c>
      <c r="C96" s="2">
        <v>45689</v>
      </c>
      <c r="D96" t="s">
        <v>1207</v>
      </c>
      <c r="E96" t="s">
        <v>1207</v>
      </c>
      <c r="F96" t="s">
        <v>1208</v>
      </c>
    </row>
    <row r="97" spans="1:6">
      <c r="A97" t="s">
        <v>648</v>
      </c>
      <c r="B97" s="2">
        <v>45890</v>
      </c>
      <c r="C97" t="s">
        <v>1207</v>
      </c>
      <c r="D97" s="2">
        <v>45913</v>
      </c>
      <c r="E97" s="2">
        <v>45914</v>
      </c>
      <c r="F97" t="s">
        <v>1209</v>
      </c>
    </row>
    <row r="98" spans="1:6">
      <c r="A98" t="s">
        <v>649</v>
      </c>
      <c r="B98" s="2">
        <v>45845</v>
      </c>
      <c r="C98" s="2">
        <v>45848</v>
      </c>
      <c r="D98" s="2">
        <v>45854</v>
      </c>
      <c r="E98" s="2">
        <v>45855</v>
      </c>
      <c r="F98" t="s">
        <v>1211</v>
      </c>
    </row>
    <row r="99" spans="1:6">
      <c r="A99" t="s">
        <v>650</v>
      </c>
      <c r="B99" s="2">
        <v>45983</v>
      </c>
      <c r="C99" s="2">
        <v>45983</v>
      </c>
      <c r="D99" s="2">
        <v>45987</v>
      </c>
      <c r="E99" s="2">
        <v>45988</v>
      </c>
      <c r="F99" t="s">
        <v>1209</v>
      </c>
    </row>
    <row r="100" spans="1:6">
      <c r="A100" t="s">
        <v>651</v>
      </c>
      <c r="B100" s="2">
        <v>45671</v>
      </c>
      <c r="C100" s="2">
        <v>45673</v>
      </c>
      <c r="D100" s="2">
        <v>45680</v>
      </c>
      <c r="E100" s="2">
        <v>45681</v>
      </c>
      <c r="F100" t="s">
        <v>1209</v>
      </c>
    </row>
    <row r="101" spans="1:6">
      <c r="A101" t="s">
        <v>652</v>
      </c>
      <c r="B101" s="2">
        <v>45803</v>
      </c>
      <c r="C101" s="2">
        <v>45810</v>
      </c>
      <c r="D101" s="2">
        <v>45823</v>
      </c>
      <c r="E101" s="2">
        <v>45824</v>
      </c>
      <c r="F101" t="s">
        <v>1212</v>
      </c>
    </row>
    <row r="102" spans="1:6">
      <c r="A102" t="s">
        <v>653</v>
      </c>
      <c r="B102" s="2">
        <v>45690</v>
      </c>
      <c r="C102" t="s">
        <v>1207</v>
      </c>
      <c r="D102" s="2">
        <v>45715</v>
      </c>
      <c r="E102" s="2">
        <v>45716</v>
      </c>
      <c r="F102" t="s">
        <v>1211</v>
      </c>
    </row>
    <row r="103" spans="1:6">
      <c r="A103" t="s">
        <v>654</v>
      </c>
      <c r="B103" s="2">
        <v>45688</v>
      </c>
      <c r="C103" s="2">
        <v>45686</v>
      </c>
      <c r="D103" s="2">
        <v>45682</v>
      </c>
      <c r="E103" s="2">
        <v>45683</v>
      </c>
      <c r="F103" t="s">
        <v>1209</v>
      </c>
    </row>
    <row r="104" spans="1:6">
      <c r="A104" t="s">
        <v>655</v>
      </c>
      <c r="B104" s="2">
        <v>45905</v>
      </c>
      <c r="C104" s="2">
        <v>45922</v>
      </c>
      <c r="D104" t="s">
        <v>1207</v>
      </c>
      <c r="E104" t="s">
        <v>1207</v>
      </c>
      <c r="F104" t="s">
        <v>1209</v>
      </c>
    </row>
    <row r="105" spans="1:6">
      <c r="A105" t="s">
        <v>656</v>
      </c>
      <c r="B105" s="2">
        <v>45873</v>
      </c>
      <c r="C105" t="s">
        <v>1207</v>
      </c>
      <c r="D105" s="2">
        <v>45917</v>
      </c>
      <c r="E105" s="2">
        <v>45918</v>
      </c>
      <c r="F105" t="s">
        <v>1209</v>
      </c>
    </row>
    <row r="106" spans="1:6">
      <c r="A106" t="s">
        <v>657</v>
      </c>
      <c r="B106" s="2">
        <v>46007</v>
      </c>
      <c r="C106" s="2">
        <v>46010</v>
      </c>
      <c r="D106" s="2">
        <v>46017</v>
      </c>
      <c r="E106" s="2">
        <v>46018</v>
      </c>
      <c r="F106" t="s">
        <v>1209</v>
      </c>
    </row>
    <row r="107" spans="1:6">
      <c r="A107" t="s">
        <v>658</v>
      </c>
      <c r="B107" s="2">
        <v>45826</v>
      </c>
      <c r="C107" s="2">
        <v>45836</v>
      </c>
      <c r="D107" t="s">
        <v>1207</v>
      </c>
      <c r="E107" t="s">
        <v>1207</v>
      </c>
      <c r="F107" t="s">
        <v>1209</v>
      </c>
    </row>
    <row r="108" spans="1:6">
      <c r="A108" t="s">
        <v>659</v>
      </c>
      <c r="B108" s="2">
        <v>45951</v>
      </c>
      <c r="C108" s="2">
        <v>45953</v>
      </c>
      <c r="D108" s="2">
        <v>45951</v>
      </c>
      <c r="E108" s="2">
        <v>45952</v>
      </c>
      <c r="F108" t="s">
        <v>1209</v>
      </c>
    </row>
    <row r="109" spans="1:6">
      <c r="A109" t="s">
        <v>660</v>
      </c>
      <c r="B109" s="2">
        <v>45761</v>
      </c>
      <c r="C109" t="s">
        <v>1207</v>
      </c>
      <c r="D109" t="s">
        <v>1207</v>
      </c>
      <c r="E109" t="s">
        <v>1207</v>
      </c>
      <c r="F109" t="s">
        <v>1209</v>
      </c>
    </row>
    <row r="110" spans="1:6">
      <c r="A110" t="s">
        <v>661</v>
      </c>
      <c r="B110" s="2">
        <v>45914</v>
      </c>
      <c r="C110" s="2">
        <v>45914</v>
      </c>
      <c r="D110" s="2">
        <v>45919</v>
      </c>
      <c r="E110" s="2">
        <v>45920</v>
      </c>
      <c r="F110" t="s">
        <v>1210</v>
      </c>
    </row>
    <row r="111" spans="1:6">
      <c r="A111" t="s">
        <v>662</v>
      </c>
      <c r="B111" s="2">
        <v>45673</v>
      </c>
      <c r="C111" t="s">
        <v>1207</v>
      </c>
      <c r="D111" s="2">
        <v>45677</v>
      </c>
      <c r="E111" s="2">
        <v>45678</v>
      </c>
      <c r="F111" t="s">
        <v>1209</v>
      </c>
    </row>
    <row r="112" spans="1:6">
      <c r="A112" t="s">
        <v>663</v>
      </c>
      <c r="B112" s="2">
        <v>45719</v>
      </c>
      <c r="C112" t="s">
        <v>1207</v>
      </c>
      <c r="D112" s="2">
        <v>45716</v>
      </c>
      <c r="E112" s="2">
        <v>45717</v>
      </c>
      <c r="F112" t="s">
        <v>1209</v>
      </c>
    </row>
    <row r="113" spans="1:6">
      <c r="A113" t="s">
        <v>664</v>
      </c>
      <c r="B113" s="2">
        <v>45948</v>
      </c>
      <c r="C113" s="2">
        <v>45956</v>
      </c>
      <c r="D113" s="2">
        <v>45955</v>
      </c>
      <c r="E113" s="2">
        <v>45956</v>
      </c>
      <c r="F113" t="s">
        <v>1209</v>
      </c>
    </row>
    <row r="114" spans="1:6">
      <c r="A114" t="s">
        <v>665</v>
      </c>
      <c r="B114" s="2">
        <v>45734</v>
      </c>
      <c r="C114" t="s">
        <v>1207</v>
      </c>
      <c r="D114" s="2">
        <v>45754</v>
      </c>
      <c r="E114" s="2">
        <v>45755</v>
      </c>
      <c r="F114" t="s">
        <v>1209</v>
      </c>
    </row>
    <row r="115" spans="1:6">
      <c r="A115" t="s">
        <v>666</v>
      </c>
      <c r="B115" s="2">
        <v>45675</v>
      </c>
      <c r="C115" s="2">
        <v>45675</v>
      </c>
      <c r="D115" s="2">
        <v>45676</v>
      </c>
      <c r="E115" s="2">
        <v>45677</v>
      </c>
      <c r="F115" t="s">
        <v>1209</v>
      </c>
    </row>
    <row r="116" spans="1:6">
      <c r="A116" t="s">
        <v>667</v>
      </c>
      <c r="B116" s="2">
        <v>46007</v>
      </c>
      <c r="C116" t="s">
        <v>1207</v>
      </c>
      <c r="D116" t="s">
        <v>1207</v>
      </c>
      <c r="E116" t="s">
        <v>1207</v>
      </c>
      <c r="F116" t="s">
        <v>1211</v>
      </c>
    </row>
    <row r="117" spans="1:6">
      <c r="A117" t="s">
        <v>668</v>
      </c>
      <c r="B117" s="2">
        <v>45901</v>
      </c>
      <c r="C117" s="2">
        <v>45902</v>
      </c>
      <c r="D117" t="s">
        <v>1207</v>
      </c>
      <c r="E117" t="s">
        <v>1207</v>
      </c>
      <c r="F117" t="s">
        <v>1209</v>
      </c>
    </row>
    <row r="118" spans="1:6">
      <c r="A118" t="s">
        <v>669</v>
      </c>
      <c r="B118" s="2">
        <v>45795</v>
      </c>
      <c r="C118" t="s">
        <v>1207</v>
      </c>
      <c r="D118" s="2">
        <v>45826</v>
      </c>
      <c r="E118" s="2">
        <v>45827</v>
      </c>
      <c r="F118" t="s">
        <v>1209</v>
      </c>
    </row>
    <row r="119" spans="1:6">
      <c r="A119" t="s">
        <v>670</v>
      </c>
      <c r="B119" s="2">
        <v>45896</v>
      </c>
      <c r="C119" s="2">
        <v>45906</v>
      </c>
      <c r="D119" t="s">
        <v>1207</v>
      </c>
      <c r="E119" t="s">
        <v>1207</v>
      </c>
      <c r="F119" t="s">
        <v>1209</v>
      </c>
    </row>
    <row r="120" spans="1:6">
      <c r="A120" t="s">
        <v>671</v>
      </c>
      <c r="B120" s="2">
        <v>45890</v>
      </c>
      <c r="C120" s="2">
        <v>45898</v>
      </c>
      <c r="D120" s="2">
        <v>45901</v>
      </c>
      <c r="E120" s="2">
        <v>45902</v>
      </c>
      <c r="F120" t="s">
        <v>1209</v>
      </c>
    </row>
    <row r="121" spans="1:6">
      <c r="A121" t="s">
        <v>672</v>
      </c>
      <c r="B121" s="2">
        <v>45946</v>
      </c>
      <c r="C121" s="2">
        <v>45947</v>
      </c>
      <c r="D121" s="2">
        <v>45957</v>
      </c>
      <c r="E121" s="2">
        <v>45958</v>
      </c>
      <c r="F121" t="s">
        <v>1209</v>
      </c>
    </row>
    <row r="122" spans="1:6">
      <c r="A122" t="s">
        <v>673</v>
      </c>
      <c r="B122" s="2">
        <v>45712</v>
      </c>
      <c r="C122" s="2">
        <v>45718</v>
      </c>
      <c r="D122" s="2">
        <v>45723</v>
      </c>
      <c r="E122" s="2">
        <v>45724</v>
      </c>
      <c r="F122" t="s">
        <v>1210</v>
      </c>
    </row>
    <row r="123" spans="1:6">
      <c r="A123" t="s">
        <v>674</v>
      </c>
      <c r="B123" s="2">
        <v>45825</v>
      </c>
      <c r="C123" s="2">
        <v>45824</v>
      </c>
      <c r="D123" t="s">
        <v>1207</v>
      </c>
      <c r="E123" t="s">
        <v>1207</v>
      </c>
      <c r="F123" t="s">
        <v>1211</v>
      </c>
    </row>
    <row r="124" spans="1:6">
      <c r="A124" t="s">
        <v>675</v>
      </c>
      <c r="B124" s="2">
        <v>45965</v>
      </c>
      <c r="C124" s="2">
        <v>45980</v>
      </c>
      <c r="D124" s="2">
        <v>46002</v>
      </c>
      <c r="E124" s="2">
        <v>46003</v>
      </c>
      <c r="F124" t="s">
        <v>1209</v>
      </c>
    </row>
    <row r="125" spans="1:6">
      <c r="A125" t="s">
        <v>676</v>
      </c>
      <c r="B125" s="2">
        <v>45709</v>
      </c>
      <c r="C125" s="2">
        <v>45709</v>
      </c>
      <c r="D125" s="2">
        <v>45723</v>
      </c>
      <c r="E125" s="2">
        <v>45724</v>
      </c>
      <c r="F125" t="s">
        <v>1209</v>
      </c>
    </row>
    <row r="126" spans="1:6">
      <c r="A126" t="s">
        <v>677</v>
      </c>
      <c r="B126" s="2">
        <v>45840</v>
      </c>
      <c r="C126" s="2">
        <v>45840</v>
      </c>
      <c r="D126" s="2">
        <v>45850</v>
      </c>
      <c r="E126" s="2">
        <v>45851</v>
      </c>
      <c r="F126" t="s">
        <v>1209</v>
      </c>
    </row>
    <row r="127" spans="1:6">
      <c r="A127" t="s">
        <v>678</v>
      </c>
      <c r="B127" s="2">
        <v>45992</v>
      </c>
      <c r="C127" s="2">
        <v>46001</v>
      </c>
      <c r="D127" s="2">
        <v>46022</v>
      </c>
      <c r="E127" s="2">
        <v>46023</v>
      </c>
      <c r="F127" t="s">
        <v>1209</v>
      </c>
    </row>
    <row r="128" spans="1:6">
      <c r="A128" t="s">
        <v>679</v>
      </c>
      <c r="B128" s="2">
        <v>45701</v>
      </c>
      <c r="C128" s="2">
        <v>45708</v>
      </c>
      <c r="D128" s="2">
        <v>45737</v>
      </c>
      <c r="E128" s="2">
        <v>45738</v>
      </c>
      <c r="F128" t="s">
        <v>1209</v>
      </c>
    </row>
    <row r="129" spans="1:6">
      <c r="A129" t="s">
        <v>680</v>
      </c>
      <c r="B129" s="2">
        <v>45994</v>
      </c>
      <c r="C129" s="2">
        <v>46006</v>
      </c>
      <c r="D129" t="s">
        <v>1207</v>
      </c>
      <c r="E129" t="s">
        <v>1207</v>
      </c>
      <c r="F129" t="s">
        <v>1210</v>
      </c>
    </row>
    <row r="130" spans="1:6">
      <c r="A130" t="s">
        <v>681</v>
      </c>
      <c r="B130" s="2">
        <v>45920</v>
      </c>
      <c r="C130" s="2">
        <v>45920</v>
      </c>
      <c r="D130" s="2">
        <v>45930</v>
      </c>
      <c r="E130" s="2">
        <v>45931</v>
      </c>
      <c r="F130" t="s">
        <v>1209</v>
      </c>
    </row>
    <row r="131" spans="1:6">
      <c r="A131" t="s">
        <v>682</v>
      </c>
      <c r="B131" s="2">
        <v>45703</v>
      </c>
      <c r="C131" t="s">
        <v>1207</v>
      </c>
      <c r="D131" s="2">
        <v>45717</v>
      </c>
      <c r="E131" s="2">
        <v>45718</v>
      </c>
      <c r="F131" t="s">
        <v>1209</v>
      </c>
    </row>
    <row r="132" spans="1:6">
      <c r="A132" t="s">
        <v>683</v>
      </c>
      <c r="B132" s="2">
        <v>45892</v>
      </c>
      <c r="C132" s="2">
        <v>45896</v>
      </c>
      <c r="D132" s="2">
        <v>45903</v>
      </c>
      <c r="E132" s="2">
        <v>45904</v>
      </c>
      <c r="F132" t="s">
        <v>1209</v>
      </c>
    </row>
    <row r="133" spans="1:6">
      <c r="A133" t="s">
        <v>684</v>
      </c>
      <c r="B133" s="2">
        <v>45757</v>
      </c>
      <c r="C133" s="2">
        <v>45769</v>
      </c>
      <c r="D133" s="2">
        <v>45790</v>
      </c>
      <c r="E133" s="2">
        <v>45791</v>
      </c>
      <c r="F133" t="s">
        <v>1209</v>
      </c>
    </row>
    <row r="134" spans="1:6">
      <c r="A134" t="s">
        <v>685</v>
      </c>
      <c r="B134" s="2">
        <v>45750</v>
      </c>
      <c r="C134" s="2">
        <v>45760</v>
      </c>
      <c r="D134" s="2">
        <v>45776</v>
      </c>
      <c r="E134" s="2">
        <v>45777</v>
      </c>
      <c r="F134" t="s">
        <v>1209</v>
      </c>
    </row>
    <row r="135" spans="1:6">
      <c r="A135" t="s">
        <v>686</v>
      </c>
      <c r="B135" s="2">
        <v>45666</v>
      </c>
      <c r="C135" s="2">
        <v>45668</v>
      </c>
      <c r="D135" t="s">
        <v>1207</v>
      </c>
      <c r="E135" t="s">
        <v>1207</v>
      </c>
      <c r="F135" t="s">
        <v>1211</v>
      </c>
    </row>
    <row r="136" spans="1:6">
      <c r="A136" t="s">
        <v>687</v>
      </c>
      <c r="B136" s="2">
        <v>45898</v>
      </c>
      <c r="C136" s="2">
        <v>45904</v>
      </c>
      <c r="D136" s="2">
        <v>45910</v>
      </c>
      <c r="E136" s="2">
        <v>45911</v>
      </c>
      <c r="F136" t="s">
        <v>1209</v>
      </c>
    </row>
    <row r="137" spans="1:6">
      <c r="A137" t="s">
        <v>688</v>
      </c>
      <c r="B137" s="2">
        <v>45774</v>
      </c>
      <c r="C137" s="2">
        <v>45780</v>
      </c>
      <c r="D137" s="2">
        <v>45791</v>
      </c>
      <c r="E137" s="2">
        <v>45792</v>
      </c>
      <c r="F137" t="s">
        <v>1211</v>
      </c>
    </row>
    <row r="138" spans="1:6">
      <c r="A138" t="s">
        <v>689</v>
      </c>
      <c r="B138" s="2">
        <v>45780</v>
      </c>
      <c r="C138" t="s">
        <v>1207</v>
      </c>
      <c r="D138" t="s">
        <v>1207</v>
      </c>
      <c r="E138" t="s">
        <v>1207</v>
      </c>
      <c r="F138" t="s">
        <v>1210</v>
      </c>
    </row>
    <row r="139" spans="1:6">
      <c r="A139" t="s">
        <v>690</v>
      </c>
      <c r="B139" s="2">
        <v>45917</v>
      </c>
      <c r="C139" s="2">
        <v>45927</v>
      </c>
      <c r="D139" t="s">
        <v>1207</v>
      </c>
      <c r="E139" t="s">
        <v>1207</v>
      </c>
      <c r="F139" t="s">
        <v>1209</v>
      </c>
    </row>
    <row r="140" spans="1:6">
      <c r="A140" t="s">
        <v>691</v>
      </c>
      <c r="B140" s="2">
        <v>45918</v>
      </c>
      <c r="C140" s="2">
        <v>45928</v>
      </c>
      <c r="D140" s="2">
        <v>45939</v>
      </c>
      <c r="E140" s="2">
        <v>45940</v>
      </c>
      <c r="F140" t="s">
        <v>1209</v>
      </c>
    </row>
    <row r="141" spans="1:6">
      <c r="A141" t="s">
        <v>692</v>
      </c>
      <c r="B141" s="2">
        <v>45895</v>
      </c>
      <c r="C141" s="2">
        <v>45899</v>
      </c>
      <c r="D141" t="s">
        <v>1207</v>
      </c>
      <c r="E141" t="s">
        <v>1207</v>
      </c>
      <c r="F141" t="s">
        <v>1208</v>
      </c>
    </row>
    <row r="142" spans="1:6">
      <c r="A142" t="s">
        <v>693</v>
      </c>
      <c r="B142" s="2">
        <v>45921</v>
      </c>
      <c r="C142" s="2">
        <v>45923</v>
      </c>
      <c r="D142" s="2">
        <v>45935</v>
      </c>
      <c r="E142" s="2">
        <v>45936</v>
      </c>
      <c r="F142" t="s">
        <v>1212</v>
      </c>
    </row>
    <row r="143" spans="1:6">
      <c r="A143" t="s">
        <v>694</v>
      </c>
      <c r="B143" s="2">
        <v>45936</v>
      </c>
      <c r="C143" s="2">
        <v>45943</v>
      </c>
      <c r="D143" s="2">
        <v>45949</v>
      </c>
      <c r="E143" s="2">
        <v>45950</v>
      </c>
      <c r="F143" t="s">
        <v>1209</v>
      </c>
    </row>
    <row r="144" spans="1:6">
      <c r="A144" t="s">
        <v>695</v>
      </c>
      <c r="B144" s="2">
        <v>45879</v>
      </c>
      <c r="C144" s="2">
        <v>45878</v>
      </c>
      <c r="D144" s="2">
        <v>45891</v>
      </c>
      <c r="E144" s="2">
        <v>45892</v>
      </c>
      <c r="F144" t="s">
        <v>1209</v>
      </c>
    </row>
    <row r="145" spans="1:6">
      <c r="A145" t="s">
        <v>696</v>
      </c>
      <c r="B145" s="2">
        <v>45771</v>
      </c>
      <c r="C145" s="2">
        <v>45776</v>
      </c>
      <c r="D145" s="2">
        <v>45785</v>
      </c>
      <c r="E145" s="2">
        <v>45786</v>
      </c>
      <c r="F145" t="s">
        <v>1209</v>
      </c>
    </row>
    <row r="146" spans="1:6">
      <c r="A146" t="s">
        <v>697</v>
      </c>
      <c r="B146" s="2">
        <v>45800</v>
      </c>
      <c r="C146" s="2">
        <v>45800</v>
      </c>
      <c r="D146" s="2">
        <v>45793</v>
      </c>
      <c r="E146" s="2">
        <v>45794</v>
      </c>
      <c r="F146" t="s">
        <v>1209</v>
      </c>
    </row>
    <row r="147" spans="1:6">
      <c r="A147" t="s">
        <v>698</v>
      </c>
      <c r="B147" s="2">
        <v>45835</v>
      </c>
      <c r="C147" s="2">
        <v>45838</v>
      </c>
      <c r="D147" t="s">
        <v>1207</v>
      </c>
      <c r="E147" t="s">
        <v>1207</v>
      </c>
      <c r="F147" t="s">
        <v>1209</v>
      </c>
    </row>
    <row r="148" spans="1:6">
      <c r="A148" t="s">
        <v>699</v>
      </c>
      <c r="B148" s="2">
        <v>45776</v>
      </c>
      <c r="C148" t="s">
        <v>1207</v>
      </c>
      <c r="D148" t="s">
        <v>1207</v>
      </c>
      <c r="E148" t="s">
        <v>1207</v>
      </c>
      <c r="F148" t="s">
        <v>1211</v>
      </c>
    </row>
    <row r="149" spans="1:6">
      <c r="A149" t="s">
        <v>700</v>
      </c>
      <c r="B149" s="2">
        <v>45739</v>
      </c>
      <c r="C149" s="2">
        <v>45742</v>
      </c>
      <c r="D149" s="2">
        <v>45736</v>
      </c>
      <c r="E149" s="2">
        <v>45737</v>
      </c>
      <c r="F149" t="s">
        <v>1210</v>
      </c>
    </row>
    <row r="150" spans="1:6">
      <c r="A150" t="s">
        <v>701</v>
      </c>
      <c r="B150" s="2">
        <v>45888</v>
      </c>
      <c r="C150" s="2">
        <v>45891</v>
      </c>
      <c r="D150" s="2">
        <v>45901</v>
      </c>
      <c r="E150" s="2">
        <v>45902</v>
      </c>
      <c r="F150" t="s">
        <v>1209</v>
      </c>
    </row>
    <row r="151" spans="1:6">
      <c r="A151" t="s">
        <v>702</v>
      </c>
      <c r="B151" s="2">
        <v>45800</v>
      </c>
      <c r="C151" s="2">
        <v>45803</v>
      </c>
      <c r="D151" s="2">
        <v>45811</v>
      </c>
      <c r="E151" s="2">
        <v>45812</v>
      </c>
      <c r="F151" t="s">
        <v>1209</v>
      </c>
    </row>
    <row r="152" spans="1:6">
      <c r="A152" t="s">
        <v>703</v>
      </c>
      <c r="B152" s="2">
        <v>45933</v>
      </c>
      <c r="C152" s="2">
        <v>45939</v>
      </c>
      <c r="D152" s="2">
        <v>45951</v>
      </c>
      <c r="E152" s="2">
        <v>45952</v>
      </c>
      <c r="F152" t="s">
        <v>1208</v>
      </c>
    </row>
    <row r="153" spans="1:6">
      <c r="A153" t="s">
        <v>704</v>
      </c>
      <c r="B153" s="2">
        <v>46020</v>
      </c>
      <c r="C153" s="2">
        <v>46029</v>
      </c>
      <c r="D153" t="s">
        <v>1207</v>
      </c>
      <c r="E153" t="s">
        <v>1207</v>
      </c>
      <c r="F153" t="s">
        <v>1210</v>
      </c>
    </row>
    <row r="154" spans="1:6">
      <c r="A154" t="s">
        <v>705</v>
      </c>
      <c r="B154" s="2">
        <v>45767</v>
      </c>
      <c r="C154" s="2">
        <v>45771</v>
      </c>
      <c r="D154" s="2">
        <v>45775</v>
      </c>
      <c r="E154" s="2">
        <v>45776</v>
      </c>
      <c r="F154" t="s">
        <v>1209</v>
      </c>
    </row>
    <row r="155" spans="1:6">
      <c r="A155" t="s">
        <v>706</v>
      </c>
      <c r="B155" s="2">
        <v>45895</v>
      </c>
      <c r="C155" s="2">
        <v>45902</v>
      </c>
      <c r="D155" t="s">
        <v>1207</v>
      </c>
      <c r="E155" t="s">
        <v>1207</v>
      </c>
      <c r="F155" t="s">
        <v>1210</v>
      </c>
    </row>
    <row r="156" spans="1:6">
      <c r="A156" t="s">
        <v>707</v>
      </c>
      <c r="B156" s="2">
        <v>45771</v>
      </c>
      <c r="C156" s="2">
        <v>45773</v>
      </c>
      <c r="D156" t="s">
        <v>1207</v>
      </c>
      <c r="E156" t="s">
        <v>1207</v>
      </c>
      <c r="F156" t="s">
        <v>1211</v>
      </c>
    </row>
    <row r="157" spans="1:6">
      <c r="A157" t="s">
        <v>708</v>
      </c>
      <c r="B157" s="2">
        <v>45991</v>
      </c>
      <c r="C157" s="2">
        <v>45991</v>
      </c>
      <c r="D157" s="2">
        <v>45995</v>
      </c>
      <c r="E157" s="2">
        <v>45996</v>
      </c>
      <c r="F157" t="s">
        <v>1209</v>
      </c>
    </row>
    <row r="158" spans="1:6">
      <c r="A158" t="s">
        <v>709</v>
      </c>
      <c r="B158" s="2">
        <v>45666</v>
      </c>
      <c r="C158" s="2">
        <v>45667</v>
      </c>
      <c r="D158" t="s">
        <v>1207</v>
      </c>
      <c r="E158" t="s">
        <v>1207</v>
      </c>
      <c r="F158" t="s">
        <v>1208</v>
      </c>
    </row>
    <row r="159" spans="1:6">
      <c r="A159" t="s">
        <v>710</v>
      </c>
      <c r="B159" s="2">
        <v>45803</v>
      </c>
      <c r="C159" s="2">
        <v>45805</v>
      </c>
      <c r="D159" s="2">
        <v>45824</v>
      </c>
      <c r="E159" s="2">
        <v>45825</v>
      </c>
      <c r="F159" t="s">
        <v>1209</v>
      </c>
    </row>
    <row r="160" spans="1:6">
      <c r="A160" t="s">
        <v>711</v>
      </c>
      <c r="B160" s="2">
        <v>45845</v>
      </c>
      <c r="C160" s="2">
        <v>45854</v>
      </c>
      <c r="D160" s="2">
        <v>45873</v>
      </c>
      <c r="E160" s="2">
        <v>45874</v>
      </c>
      <c r="F160" t="s">
        <v>1209</v>
      </c>
    </row>
    <row r="161" spans="1:6">
      <c r="A161" t="s">
        <v>712</v>
      </c>
      <c r="B161" s="2">
        <v>45820</v>
      </c>
      <c r="C161" s="2">
        <v>45824</v>
      </c>
      <c r="D161" s="2">
        <v>45822</v>
      </c>
      <c r="E161" s="2">
        <v>45823</v>
      </c>
      <c r="F161" t="s">
        <v>1209</v>
      </c>
    </row>
    <row r="162" spans="1:6">
      <c r="A162" t="s">
        <v>713</v>
      </c>
      <c r="B162" s="2">
        <v>45682</v>
      </c>
      <c r="C162" s="2">
        <v>45685</v>
      </c>
      <c r="D162" s="2">
        <v>45691</v>
      </c>
      <c r="E162" s="2">
        <v>45692</v>
      </c>
      <c r="F162" t="s">
        <v>1209</v>
      </c>
    </row>
    <row r="163" spans="1:6">
      <c r="A163" t="s">
        <v>714</v>
      </c>
      <c r="B163" s="2">
        <v>45770</v>
      </c>
      <c r="C163" s="2">
        <v>45776</v>
      </c>
      <c r="D163" s="2">
        <v>45798</v>
      </c>
      <c r="E163" s="2">
        <v>45799</v>
      </c>
      <c r="F163" t="s">
        <v>1212</v>
      </c>
    </row>
    <row r="164" spans="1:6">
      <c r="A164" t="s">
        <v>715</v>
      </c>
      <c r="B164" s="2">
        <v>46018</v>
      </c>
      <c r="C164" s="2">
        <v>46022</v>
      </c>
      <c r="D164" t="s">
        <v>1207</v>
      </c>
      <c r="E164" t="s">
        <v>1207</v>
      </c>
      <c r="F164" t="s">
        <v>1208</v>
      </c>
    </row>
    <row r="165" spans="1:6">
      <c r="A165" t="s">
        <v>716</v>
      </c>
      <c r="B165" s="2">
        <v>45933</v>
      </c>
      <c r="C165" s="2">
        <v>45942</v>
      </c>
      <c r="D165" s="2">
        <v>45955</v>
      </c>
      <c r="E165" s="2">
        <v>45956</v>
      </c>
      <c r="F165" t="s">
        <v>1209</v>
      </c>
    </row>
    <row r="166" spans="1:6">
      <c r="A166" t="s">
        <v>717</v>
      </c>
      <c r="B166" s="2">
        <v>45840</v>
      </c>
      <c r="C166" s="2">
        <v>45846</v>
      </c>
      <c r="D166" s="2">
        <v>45865</v>
      </c>
      <c r="E166" s="2">
        <v>45866</v>
      </c>
      <c r="F166" t="s">
        <v>1209</v>
      </c>
    </row>
    <row r="167" spans="1:6">
      <c r="A167" t="s">
        <v>718</v>
      </c>
      <c r="B167" s="2">
        <v>45682</v>
      </c>
      <c r="C167" s="2">
        <v>45690</v>
      </c>
      <c r="D167" s="2">
        <v>45713</v>
      </c>
      <c r="E167" s="2">
        <v>45714</v>
      </c>
      <c r="F167" t="s">
        <v>1209</v>
      </c>
    </row>
    <row r="168" spans="1:6">
      <c r="A168" t="s">
        <v>719</v>
      </c>
      <c r="B168" s="2">
        <v>45939</v>
      </c>
      <c r="C168" s="2">
        <v>45942</v>
      </c>
      <c r="D168" s="2">
        <v>45943</v>
      </c>
      <c r="E168" s="2">
        <v>45944</v>
      </c>
      <c r="F168" t="s">
        <v>1209</v>
      </c>
    </row>
    <row r="169" spans="1:6">
      <c r="A169" t="s">
        <v>720</v>
      </c>
      <c r="B169" s="2">
        <v>46001</v>
      </c>
      <c r="C169" s="2">
        <v>46011</v>
      </c>
      <c r="D169" t="s">
        <v>1207</v>
      </c>
      <c r="E169" t="s">
        <v>1207</v>
      </c>
      <c r="F169" t="s">
        <v>1208</v>
      </c>
    </row>
    <row r="170" spans="1:6">
      <c r="A170" t="s">
        <v>721</v>
      </c>
      <c r="B170" s="2">
        <v>46019</v>
      </c>
      <c r="C170" s="2">
        <v>46020</v>
      </c>
      <c r="D170" t="s">
        <v>1207</v>
      </c>
      <c r="E170" t="s">
        <v>1207</v>
      </c>
      <c r="F170" t="s">
        <v>1212</v>
      </c>
    </row>
    <row r="171" spans="1:6">
      <c r="A171" t="s">
        <v>722</v>
      </c>
      <c r="B171" s="2">
        <v>45735</v>
      </c>
      <c r="C171" s="2">
        <v>45738</v>
      </c>
      <c r="D171" t="s">
        <v>1207</v>
      </c>
      <c r="E171" t="s">
        <v>1207</v>
      </c>
      <c r="F171" t="s">
        <v>1210</v>
      </c>
    </row>
    <row r="172" spans="1:6">
      <c r="A172" t="s">
        <v>723</v>
      </c>
      <c r="B172" s="2">
        <v>45719</v>
      </c>
      <c r="C172" s="2">
        <v>45730</v>
      </c>
      <c r="D172" s="2">
        <v>45752</v>
      </c>
      <c r="E172" s="2">
        <v>45753</v>
      </c>
      <c r="F172" t="s">
        <v>1208</v>
      </c>
    </row>
    <row r="173" spans="1:6">
      <c r="A173" t="s">
        <v>724</v>
      </c>
      <c r="B173" s="2">
        <v>45750</v>
      </c>
      <c r="C173" s="2">
        <v>45752</v>
      </c>
      <c r="D173" s="2">
        <v>45749</v>
      </c>
      <c r="E173" s="2">
        <v>45750</v>
      </c>
      <c r="F173" t="s">
        <v>1209</v>
      </c>
    </row>
    <row r="174" spans="1:6">
      <c r="A174" t="s">
        <v>725</v>
      </c>
      <c r="B174" s="2">
        <v>45798</v>
      </c>
      <c r="C174" s="2">
        <v>45800</v>
      </c>
      <c r="D174" s="2">
        <v>45794</v>
      </c>
      <c r="E174" s="2">
        <v>45795</v>
      </c>
      <c r="F174" t="s">
        <v>1209</v>
      </c>
    </row>
    <row r="175" spans="1:6">
      <c r="A175" t="s">
        <v>726</v>
      </c>
      <c r="B175" s="2">
        <v>45750</v>
      </c>
      <c r="C175" s="2">
        <v>45752</v>
      </c>
      <c r="D175" t="s">
        <v>1207</v>
      </c>
      <c r="E175" t="s">
        <v>1207</v>
      </c>
      <c r="F175" t="s">
        <v>1208</v>
      </c>
    </row>
    <row r="176" spans="1:6">
      <c r="A176" t="s">
        <v>727</v>
      </c>
      <c r="B176" s="2">
        <v>45821</v>
      </c>
      <c r="C176" s="2">
        <v>45831</v>
      </c>
      <c r="D176" s="2">
        <v>45845</v>
      </c>
      <c r="E176" s="2">
        <v>45846</v>
      </c>
      <c r="F176" t="s">
        <v>1209</v>
      </c>
    </row>
    <row r="177" spans="1:6">
      <c r="A177" t="s">
        <v>728</v>
      </c>
      <c r="B177" s="2">
        <v>45821</v>
      </c>
      <c r="C177" t="s">
        <v>1207</v>
      </c>
      <c r="D177" s="2">
        <v>45844</v>
      </c>
      <c r="E177" s="2">
        <v>45845</v>
      </c>
      <c r="F177" t="s">
        <v>1209</v>
      </c>
    </row>
    <row r="178" spans="1:6">
      <c r="A178" t="s">
        <v>729</v>
      </c>
      <c r="B178" s="2">
        <v>45933</v>
      </c>
      <c r="C178" s="2">
        <v>45936</v>
      </c>
      <c r="D178" t="s">
        <v>1207</v>
      </c>
      <c r="E178" t="s">
        <v>1207</v>
      </c>
      <c r="F178" t="s">
        <v>1208</v>
      </c>
    </row>
    <row r="179" spans="1:6">
      <c r="A179" t="s">
        <v>730</v>
      </c>
      <c r="B179" s="2">
        <v>45875</v>
      </c>
      <c r="C179" s="2">
        <v>45881</v>
      </c>
      <c r="D179" t="s">
        <v>1207</v>
      </c>
      <c r="E179" t="s">
        <v>1207</v>
      </c>
      <c r="F179" t="s">
        <v>1211</v>
      </c>
    </row>
    <row r="180" spans="1:6">
      <c r="A180" t="s">
        <v>731</v>
      </c>
      <c r="B180" s="2">
        <v>45831</v>
      </c>
      <c r="C180" s="2">
        <v>45831</v>
      </c>
      <c r="D180" t="s">
        <v>1207</v>
      </c>
      <c r="E180" t="s">
        <v>1207</v>
      </c>
      <c r="F180" t="s">
        <v>1210</v>
      </c>
    </row>
    <row r="181" spans="1:6">
      <c r="A181" t="s">
        <v>732</v>
      </c>
      <c r="B181" s="2">
        <v>45780</v>
      </c>
      <c r="C181" t="s">
        <v>1207</v>
      </c>
      <c r="D181" s="2">
        <v>45785</v>
      </c>
      <c r="E181" s="2">
        <v>45786</v>
      </c>
      <c r="F181" t="s">
        <v>1209</v>
      </c>
    </row>
    <row r="182" spans="1:6">
      <c r="A182" t="s">
        <v>733</v>
      </c>
      <c r="B182" s="2">
        <v>45908</v>
      </c>
      <c r="C182" s="2">
        <v>45907</v>
      </c>
      <c r="D182" s="2">
        <v>45911</v>
      </c>
      <c r="E182" s="2">
        <v>45912</v>
      </c>
      <c r="F182" t="s">
        <v>1209</v>
      </c>
    </row>
    <row r="183" spans="1:6">
      <c r="A183" t="s">
        <v>734</v>
      </c>
      <c r="B183" s="2">
        <v>45876</v>
      </c>
      <c r="C183" t="s">
        <v>1207</v>
      </c>
      <c r="D183" s="2">
        <v>45900</v>
      </c>
      <c r="E183" s="2">
        <v>45901</v>
      </c>
      <c r="F183" t="s">
        <v>1209</v>
      </c>
    </row>
    <row r="184" spans="1:6">
      <c r="A184" t="s">
        <v>735</v>
      </c>
      <c r="B184" s="2">
        <v>45861</v>
      </c>
      <c r="C184" t="s">
        <v>1207</v>
      </c>
      <c r="D184" s="2">
        <v>45876</v>
      </c>
      <c r="E184" s="2">
        <v>45877</v>
      </c>
      <c r="F184" t="s">
        <v>1209</v>
      </c>
    </row>
    <row r="185" spans="1:6">
      <c r="A185" t="s">
        <v>736</v>
      </c>
      <c r="B185" s="2">
        <v>45972</v>
      </c>
      <c r="C185" s="2">
        <v>45984</v>
      </c>
      <c r="D185" t="s">
        <v>1207</v>
      </c>
      <c r="E185" t="s">
        <v>1207</v>
      </c>
      <c r="F185" t="s">
        <v>1210</v>
      </c>
    </row>
    <row r="186" spans="1:6">
      <c r="A186" t="s">
        <v>737</v>
      </c>
      <c r="B186" s="2">
        <v>45856</v>
      </c>
      <c r="C186" s="2">
        <v>45870</v>
      </c>
      <c r="D186" s="2">
        <v>45894</v>
      </c>
      <c r="E186" s="2">
        <v>45895</v>
      </c>
      <c r="F186" t="s">
        <v>1209</v>
      </c>
    </row>
    <row r="187" spans="1:6">
      <c r="A187" t="s">
        <v>738</v>
      </c>
      <c r="B187" s="2">
        <v>45730</v>
      </c>
      <c r="C187" s="2">
        <v>45734</v>
      </c>
      <c r="D187" t="s">
        <v>1207</v>
      </c>
      <c r="E187" t="s">
        <v>1207</v>
      </c>
      <c r="F187" t="s">
        <v>1212</v>
      </c>
    </row>
    <row r="188" spans="1:6">
      <c r="A188" t="s">
        <v>739</v>
      </c>
      <c r="B188" s="2">
        <v>45725</v>
      </c>
      <c r="C188" s="2">
        <v>45725</v>
      </c>
      <c r="D188" s="2">
        <v>45727</v>
      </c>
      <c r="E188" s="2">
        <v>45728</v>
      </c>
      <c r="F188" t="s">
        <v>1209</v>
      </c>
    </row>
    <row r="189" spans="1:6">
      <c r="A189" t="s">
        <v>740</v>
      </c>
      <c r="B189" s="2">
        <v>45788</v>
      </c>
      <c r="C189" s="2">
        <v>45796</v>
      </c>
      <c r="D189" s="2">
        <v>45818</v>
      </c>
      <c r="E189" s="2">
        <v>45819</v>
      </c>
      <c r="F189" t="s">
        <v>1209</v>
      </c>
    </row>
    <row r="190" spans="1:6">
      <c r="A190" t="s">
        <v>741</v>
      </c>
      <c r="B190" s="2">
        <v>45970</v>
      </c>
      <c r="C190" t="s">
        <v>1207</v>
      </c>
      <c r="D190" s="2">
        <v>46004</v>
      </c>
      <c r="E190" s="2">
        <v>46005</v>
      </c>
      <c r="F190" t="s">
        <v>1209</v>
      </c>
    </row>
    <row r="191" spans="1:6">
      <c r="A191" t="s">
        <v>742</v>
      </c>
      <c r="B191" s="2">
        <v>45688</v>
      </c>
      <c r="C191" s="2">
        <v>45701</v>
      </c>
      <c r="D191" s="2">
        <v>45722</v>
      </c>
      <c r="E191" s="2">
        <v>45723</v>
      </c>
      <c r="F191" t="s">
        <v>1209</v>
      </c>
    </row>
    <row r="192" spans="1:6">
      <c r="A192" t="s">
        <v>743</v>
      </c>
      <c r="B192" s="2">
        <v>45844</v>
      </c>
      <c r="C192" s="2">
        <v>45850</v>
      </c>
      <c r="D192" s="2">
        <v>45866</v>
      </c>
      <c r="E192" s="2">
        <v>45867</v>
      </c>
      <c r="F192" t="s">
        <v>1209</v>
      </c>
    </row>
    <row r="193" spans="1:6">
      <c r="A193" t="s">
        <v>744</v>
      </c>
      <c r="B193" s="2">
        <v>45763</v>
      </c>
      <c r="C193" s="2">
        <v>45764</v>
      </c>
      <c r="D193" s="2">
        <v>45772</v>
      </c>
      <c r="E193" s="2">
        <v>45773</v>
      </c>
      <c r="F193" t="s">
        <v>1209</v>
      </c>
    </row>
    <row r="194" spans="1:6">
      <c r="A194" t="s">
        <v>745</v>
      </c>
      <c r="B194" s="2">
        <v>45709</v>
      </c>
      <c r="C194" s="2">
        <v>45715</v>
      </c>
      <c r="D194" t="s">
        <v>1207</v>
      </c>
      <c r="E194" t="s">
        <v>1207</v>
      </c>
      <c r="F194" t="s">
        <v>1212</v>
      </c>
    </row>
    <row r="195" spans="1:6">
      <c r="A195" t="s">
        <v>746</v>
      </c>
      <c r="B195" s="2">
        <v>46021</v>
      </c>
      <c r="C195" s="2">
        <v>46026</v>
      </c>
      <c r="D195" t="s">
        <v>1207</v>
      </c>
      <c r="E195" t="s">
        <v>1207</v>
      </c>
      <c r="F195" t="s">
        <v>1210</v>
      </c>
    </row>
    <row r="196" spans="1:6">
      <c r="A196" t="s">
        <v>747</v>
      </c>
      <c r="B196" s="2">
        <v>45782</v>
      </c>
      <c r="C196" t="s">
        <v>1207</v>
      </c>
      <c r="D196" s="2">
        <v>45807</v>
      </c>
      <c r="E196" s="2">
        <v>45808</v>
      </c>
      <c r="F196" t="s">
        <v>1209</v>
      </c>
    </row>
    <row r="197" spans="1:6">
      <c r="A197" t="s">
        <v>748</v>
      </c>
      <c r="B197" s="2">
        <v>45677</v>
      </c>
      <c r="C197" s="2">
        <v>45689</v>
      </c>
      <c r="D197" s="2">
        <v>45705</v>
      </c>
      <c r="E197" s="2">
        <v>45706</v>
      </c>
      <c r="F197" t="s">
        <v>1209</v>
      </c>
    </row>
    <row r="198" spans="1:6">
      <c r="A198" t="s">
        <v>749</v>
      </c>
      <c r="B198" s="2">
        <v>45853</v>
      </c>
      <c r="C198" s="2">
        <v>45852</v>
      </c>
      <c r="D198" s="2">
        <v>45859</v>
      </c>
      <c r="E198" s="2">
        <v>45860</v>
      </c>
      <c r="F198" t="s">
        <v>1209</v>
      </c>
    </row>
    <row r="199" spans="1:6">
      <c r="A199" t="s">
        <v>750</v>
      </c>
      <c r="B199" s="2">
        <v>45701</v>
      </c>
      <c r="C199" t="s">
        <v>1207</v>
      </c>
      <c r="D199" s="2">
        <v>45719</v>
      </c>
      <c r="E199" s="2">
        <v>45720</v>
      </c>
      <c r="F199" t="s">
        <v>1209</v>
      </c>
    </row>
    <row r="200" spans="1:6">
      <c r="A200" t="s">
        <v>751</v>
      </c>
      <c r="B200" s="2">
        <v>45822</v>
      </c>
      <c r="C200" s="2">
        <v>45831</v>
      </c>
      <c r="D200" s="2">
        <v>45849</v>
      </c>
      <c r="E200" s="2">
        <v>45850</v>
      </c>
      <c r="F200" t="s">
        <v>1209</v>
      </c>
    </row>
    <row r="201" spans="1:6">
      <c r="A201" t="s">
        <v>752</v>
      </c>
      <c r="B201" s="2">
        <v>45827</v>
      </c>
      <c r="C201" s="2">
        <v>45830</v>
      </c>
      <c r="D201" t="s">
        <v>1207</v>
      </c>
      <c r="E201" t="s">
        <v>1207</v>
      </c>
      <c r="F201" t="s">
        <v>1208</v>
      </c>
    </row>
    <row r="202" spans="1:6">
      <c r="A202" t="s">
        <v>753</v>
      </c>
      <c r="B202" s="2">
        <v>45855</v>
      </c>
      <c r="C202" t="s">
        <v>1207</v>
      </c>
      <c r="D202" s="2">
        <v>45879</v>
      </c>
      <c r="E202" s="2">
        <v>45880</v>
      </c>
      <c r="F202" t="s">
        <v>1209</v>
      </c>
    </row>
    <row r="203" spans="1:6">
      <c r="A203" t="s">
        <v>754</v>
      </c>
      <c r="B203" s="2">
        <v>45827</v>
      </c>
      <c r="C203" t="s">
        <v>1207</v>
      </c>
      <c r="D203" s="2">
        <v>45836</v>
      </c>
      <c r="E203" s="2">
        <v>45837</v>
      </c>
      <c r="F203" t="s">
        <v>1209</v>
      </c>
    </row>
    <row r="204" spans="1:6">
      <c r="A204" t="s">
        <v>755</v>
      </c>
      <c r="B204" s="2">
        <v>45691</v>
      </c>
      <c r="C204" s="2">
        <v>45695</v>
      </c>
      <c r="D204" t="s">
        <v>1207</v>
      </c>
      <c r="E204" t="s">
        <v>1207</v>
      </c>
      <c r="F204" t="s">
        <v>1211</v>
      </c>
    </row>
    <row r="205" spans="1:6">
      <c r="A205" t="s">
        <v>756</v>
      </c>
      <c r="B205" s="2">
        <v>45991</v>
      </c>
      <c r="C205" s="2">
        <v>46000</v>
      </c>
      <c r="D205" s="2">
        <v>46008</v>
      </c>
      <c r="E205" s="2">
        <v>46009</v>
      </c>
      <c r="F205" t="s">
        <v>1210</v>
      </c>
    </row>
    <row r="206" spans="1:6">
      <c r="A206" t="s">
        <v>757</v>
      </c>
      <c r="B206" s="2">
        <v>45955</v>
      </c>
      <c r="C206" s="2">
        <v>45962</v>
      </c>
      <c r="D206" s="2">
        <v>45967</v>
      </c>
      <c r="E206" s="2">
        <v>45968</v>
      </c>
      <c r="F206" t="s">
        <v>1209</v>
      </c>
    </row>
    <row r="207" spans="1:6">
      <c r="A207" t="s">
        <v>758</v>
      </c>
      <c r="B207" s="2">
        <v>45863</v>
      </c>
      <c r="C207" t="s">
        <v>1207</v>
      </c>
      <c r="D207" s="2">
        <v>45901</v>
      </c>
      <c r="E207" s="2">
        <v>45902</v>
      </c>
      <c r="F207" t="s">
        <v>1209</v>
      </c>
    </row>
    <row r="208" spans="1:6">
      <c r="A208" t="s">
        <v>759</v>
      </c>
      <c r="B208" s="2">
        <v>45875</v>
      </c>
      <c r="C208" s="2">
        <v>45885</v>
      </c>
      <c r="D208" s="2">
        <v>45905</v>
      </c>
      <c r="E208" s="2">
        <v>45906</v>
      </c>
      <c r="F208" t="s">
        <v>1211</v>
      </c>
    </row>
    <row r="209" spans="1:6">
      <c r="A209" t="s">
        <v>760</v>
      </c>
      <c r="B209" s="2">
        <v>45904</v>
      </c>
      <c r="C209" s="2">
        <v>45909</v>
      </c>
      <c r="D209" s="2">
        <v>45925</v>
      </c>
      <c r="E209" s="2">
        <v>45926</v>
      </c>
      <c r="F209" t="s">
        <v>1210</v>
      </c>
    </row>
    <row r="210" spans="1:6">
      <c r="A210" t="s">
        <v>761</v>
      </c>
      <c r="B210" s="2">
        <v>45934</v>
      </c>
      <c r="C210" s="2">
        <v>45936</v>
      </c>
      <c r="D210" s="2">
        <v>45940</v>
      </c>
      <c r="E210" s="2">
        <v>45941</v>
      </c>
      <c r="F210" t="s">
        <v>1209</v>
      </c>
    </row>
    <row r="211" spans="1:6">
      <c r="A211" t="s">
        <v>762</v>
      </c>
      <c r="B211" s="2">
        <v>45699</v>
      </c>
      <c r="C211" s="2">
        <v>45706</v>
      </c>
      <c r="D211" s="2">
        <v>45712</v>
      </c>
      <c r="E211" s="2">
        <v>45713</v>
      </c>
      <c r="F211" t="s">
        <v>1209</v>
      </c>
    </row>
    <row r="212" spans="1:6">
      <c r="A212" t="s">
        <v>763</v>
      </c>
      <c r="B212" s="2">
        <v>45977</v>
      </c>
      <c r="C212" s="2">
        <v>45977</v>
      </c>
      <c r="D212" s="2">
        <v>45980</v>
      </c>
      <c r="E212" s="2">
        <v>45981</v>
      </c>
      <c r="F212" t="s">
        <v>1209</v>
      </c>
    </row>
    <row r="213" spans="1:6">
      <c r="A213" t="s">
        <v>764</v>
      </c>
      <c r="B213" s="2">
        <v>45679</v>
      </c>
      <c r="C213" s="2">
        <v>45679</v>
      </c>
      <c r="D213" s="2">
        <v>45672</v>
      </c>
      <c r="E213" s="2">
        <v>45673</v>
      </c>
      <c r="F213" t="s">
        <v>1209</v>
      </c>
    </row>
    <row r="214" spans="1:6">
      <c r="A214" t="s">
        <v>765</v>
      </c>
      <c r="B214" s="2">
        <v>45826</v>
      </c>
      <c r="C214" s="2">
        <v>45838</v>
      </c>
      <c r="D214" s="2">
        <v>45856</v>
      </c>
      <c r="E214" s="2">
        <v>45857</v>
      </c>
      <c r="F214" t="s">
        <v>1209</v>
      </c>
    </row>
    <row r="215" spans="1:6">
      <c r="A215" t="s">
        <v>766</v>
      </c>
      <c r="B215" s="2">
        <v>45754</v>
      </c>
      <c r="C215" t="s">
        <v>1207</v>
      </c>
      <c r="D215" s="2">
        <v>45767</v>
      </c>
      <c r="E215" s="2">
        <v>45768</v>
      </c>
      <c r="F215" t="s">
        <v>1209</v>
      </c>
    </row>
    <row r="216" spans="1:6">
      <c r="A216" t="s">
        <v>767</v>
      </c>
      <c r="B216" s="2">
        <v>45929</v>
      </c>
      <c r="C216" s="2">
        <v>45936</v>
      </c>
      <c r="D216" s="2">
        <v>45945</v>
      </c>
      <c r="E216" s="2">
        <v>45946</v>
      </c>
      <c r="F216" t="s">
        <v>1209</v>
      </c>
    </row>
    <row r="217" spans="1:6">
      <c r="A217" t="s">
        <v>768</v>
      </c>
      <c r="B217" s="2">
        <v>45943</v>
      </c>
      <c r="C217" s="2">
        <v>45952</v>
      </c>
      <c r="D217" t="s">
        <v>1207</v>
      </c>
      <c r="E217" t="s">
        <v>1207</v>
      </c>
      <c r="F217" t="s">
        <v>1212</v>
      </c>
    </row>
    <row r="218" spans="1:6">
      <c r="A218" t="s">
        <v>769</v>
      </c>
      <c r="B218" s="2">
        <v>45870</v>
      </c>
      <c r="C218" s="2">
        <v>45871</v>
      </c>
      <c r="D218" s="2">
        <v>45883</v>
      </c>
      <c r="E218" s="2">
        <v>45884</v>
      </c>
      <c r="F218" t="s">
        <v>1209</v>
      </c>
    </row>
    <row r="219" spans="1:6">
      <c r="A219" t="s">
        <v>770</v>
      </c>
      <c r="B219" s="2">
        <v>45888</v>
      </c>
      <c r="C219" s="2">
        <v>45894</v>
      </c>
      <c r="D219" t="s">
        <v>1207</v>
      </c>
      <c r="E219" t="s">
        <v>1207</v>
      </c>
      <c r="F219" t="s">
        <v>1210</v>
      </c>
    </row>
    <row r="220" spans="1:6">
      <c r="A220" t="s">
        <v>771</v>
      </c>
      <c r="B220" s="2">
        <v>45834</v>
      </c>
      <c r="C220" s="2">
        <v>45843</v>
      </c>
      <c r="D220" s="2">
        <v>45860</v>
      </c>
      <c r="E220" s="2">
        <v>45861</v>
      </c>
      <c r="F220" t="s">
        <v>1209</v>
      </c>
    </row>
    <row r="221" spans="1:6">
      <c r="A221" t="s">
        <v>772</v>
      </c>
      <c r="B221" s="2">
        <v>45897</v>
      </c>
      <c r="C221" s="2">
        <v>45905</v>
      </c>
      <c r="D221" s="2">
        <v>45929</v>
      </c>
      <c r="E221" s="2">
        <v>45930</v>
      </c>
      <c r="F221" t="s">
        <v>1209</v>
      </c>
    </row>
    <row r="222" spans="1:6">
      <c r="A222" t="s">
        <v>773</v>
      </c>
      <c r="B222" s="2">
        <v>45759</v>
      </c>
      <c r="C222" s="2">
        <v>45763</v>
      </c>
      <c r="D222" s="2">
        <v>45777</v>
      </c>
      <c r="E222" s="2">
        <v>45778</v>
      </c>
      <c r="F222" t="s">
        <v>1209</v>
      </c>
    </row>
    <row r="223" spans="1:6">
      <c r="A223" t="s">
        <v>774</v>
      </c>
      <c r="B223" s="2">
        <v>45688</v>
      </c>
      <c r="C223" s="2">
        <v>45686</v>
      </c>
      <c r="D223" s="2">
        <v>45683</v>
      </c>
      <c r="E223" s="2">
        <v>45684</v>
      </c>
      <c r="F223" t="s">
        <v>1209</v>
      </c>
    </row>
    <row r="224" spans="1:6">
      <c r="A224" t="s">
        <v>775</v>
      </c>
      <c r="B224" s="2">
        <v>45818</v>
      </c>
      <c r="C224" s="2">
        <v>45818</v>
      </c>
      <c r="D224" s="2">
        <v>45831</v>
      </c>
      <c r="E224" s="2">
        <v>45832</v>
      </c>
      <c r="F224" t="s">
        <v>1208</v>
      </c>
    </row>
    <row r="225" spans="1:6">
      <c r="A225" t="s">
        <v>776</v>
      </c>
      <c r="B225" s="2">
        <v>45743</v>
      </c>
      <c r="C225" t="s">
        <v>1207</v>
      </c>
      <c r="D225" s="2">
        <v>45778</v>
      </c>
      <c r="E225" s="2">
        <v>45779</v>
      </c>
      <c r="F225" t="s">
        <v>1212</v>
      </c>
    </row>
    <row r="226" spans="1:6">
      <c r="A226" t="s">
        <v>777</v>
      </c>
      <c r="B226" s="2">
        <v>45937</v>
      </c>
      <c r="C226" s="2">
        <v>45940</v>
      </c>
      <c r="D226" t="s">
        <v>1207</v>
      </c>
      <c r="E226" t="s">
        <v>1207</v>
      </c>
      <c r="F226" t="s">
        <v>1209</v>
      </c>
    </row>
    <row r="227" spans="1:6">
      <c r="A227" t="s">
        <v>778</v>
      </c>
      <c r="B227" s="2">
        <v>45733</v>
      </c>
      <c r="C227" s="2">
        <v>45736</v>
      </c>
      <c r="D227" s="2">
        <v>45750</v>
      </c>
      <c r="E227" s="2">
        <v>45751</v>
      </c>
      <c r="F227" t="s">
        <v>1209</v>
      </c>
    </row>
    <row r="228" spans="1:6">
      <c r="A228" t="s">
        <v>779</v>
      </c>
      <c r="B228" s="2">
        <v>45985</v>
      </c>
      <c r="C228" s="2">
        <v>45991</v>
      </c>
      <c r="D228" t="s">
        <v>1207</v>
      </c>
      <c r="E228" t="s">
        <v>1207</v>
      </c>
      <c r="F228" t="s">
        <v>1208</v>
      </c>
    </row>
    <row r="229" spans="1:6">
      <c r="A229" t="s">
        <v>780</v>
      </c>
      <c r="B229" s="2">
        <v>45974</v>
      </c>
      <c r="C229" t="s">
        <v>1207</v>
      </c>
      <c r="D229" s="2">
        <v>45990</v>
      </c>
      <c r="E229" s="2">
        <v>45991</v>
      </c>
      <c r="F229" t="s">
        <v>1209</v>
      </c>
    </row>
    <row r="230" spans="1:6">
      <c r="A230" t="s">
        <v>781</v>
      </c>
      <c r="B230" s="2">
        <v>45717</v>
      </c>
      <c r="C230" s="2">
        <v>45727</v>
      </c>
      <c r="D230" s="2">
        <v>45747</v>
      </c>
      <c r="E230" s="2">
        <v>45748</v>
      </c>
      <c r="F230" t="s">
        <v>1209</v>
      </c>
    </row>
    <row r="231" spans="1:6">
      <c r="A231" t="s">
        <v>782</v>
      </c>
      <c r="B231" s="2">
        <v>45769</v>
      </c>
      <c r="C231" s="2">
        <v>45780</v>
      </c>
      <c r="D231" s="2">
        <v>45789</v>
      </c>
      <c r="E231" s="2">
        <v>45790</v>
      </c>
      <c r="F231" t="s">
        <v>1209</v>
      </c>
    </row>
    <row r="232" spans="1:6">
      <c r="A232" t="s">
        <v>783</v>
      </c>
      <c r="B232" s="2">
        <v>45908</v>
      </c>
      <c r="C232" s="2">
        <v>45915</v>
      </c>
      <c r="D232" s="2">
        <v>45931</v>
      </c>
      <c r="E232" s="2">
        <v>45932</v>
      </c>
      <c r="F232" t="s">
        <v>1209</v>
      </c>
    </row>
    <row r="233" spans="1:6">
      <c r="A233" t="s">
        <v>784</v>
      </c>
      <c r="B233" s="2">
        <v>45850</v>
      </c>
      <c r="C233" s="2">
        <v>45854</v>
      </c>
      <c r="D233" t="s">
        <v>1207</v>
      </c>
      <c r="E233" t="s">
        <v>1207</v>
      </c>
      <c r="F233" t="s">
        <v>1211</v>
      </c>
    </row>
    <row r="234" spans="1:6">
      <c r="A234" t="s">
        <v>785</v>
      </c>
      <c r="B234" s="2">
        <v>45812</v>
      </c>
      <c r="C234" t="s">
        <v>1207</v>
      </c>
      <c r="D234" s="2">
        <v>45819</v>
      </c>
      <c r="E234" s="2">
        <v>45820</v>
      </c>
      <c r="F234" t="s">
        <v>1209</v>
      </c>
    </row>
    <row r="235" spans="1:6">
      <c r="A235" t="s">
        <v>786</v>
      </c>
      <c r="B235" s="2">
        <v>45889</v>
      </c>
      <c r="C235" s="2">
        <v>45898</v>
      </c>
      <c r="D235" s="2">
        <v>45919</v>
      </c>
      <c r="E235" s="2">
        <v>45920</v>
      </c>
      <c r="F235" t="s">
        <v>1209</v>
      </c>
    </row>
    <row r="236" spans="1:6">
      <c r="A236" t="s">
        <v>787</v>
      </c>
      <c r="B236" s="2">
        <v>45849</v>
      </c>
      <c r="C236" s="2">
        <v>45853</v>
      </c>
      <c r="D236" s="2">
        <v>45861</v>
      </c>
      <c r="E236" s="2">
        <v>45862</v>
      </c>
      <c r="F236" t="s">
        <v>1212</v>
      </c>
    </row>
    <row r="237" spans="1:6">
      <c r="A237" t="s">
        <v>788</v>
      </c>
      <c r="B237" s="2">
        <v>45947</v>
      </c>
      <c r="C237" s="2">
        <v>45952</v>
      </c>
      <c r="D237" s="2">
        <v>45951</v>
      </c>
      <c r="E237" s="2">
        <v>45952</v>
      </c>
      <c r="F237" t="s">
        <v>1208</v>
      </c>
    </row>
    <row r="238" spans="1:6">
      <c r="A238" t="s">
        <v>789</v>
      </c>
      <c r="B238" s="2">
        <v>45770</v>
      </c>
      <c r="C238" s="2">
        <v>45771</v>
      </c>
      <c r="D238" s="2">
        <v>45768</v>
      </c>
      <c r="E238" s="2">
        <v>45769</v>
      </c>
      <c r="F238" t="s">
        <v>1208</v>
      </c>
    </row>
    <row r="239" spans="1:6">
      <c r="A239" t="s">
        <v>790</v>
      </c>
      <c r="B239" s="2">
        <v>45983</v>
      </c>
      <c r="C239" s="2">
        <v>45991</v>
      </c>
      <c r="D239" s="2">
        <v>46001</v>
      </c>
      <c r="E239" s="2">
        <v>46002</v>
      </c>
      <c r="F239" t="s">
        <v>1209</v>
      </c>
    </row>
    <row r="240" spans="1:6">
      <c r="A240" t="s">
        <v>791</v>
      </c>
      <c r="B240" s="2">
        <v>45867</v>
      </c>
      <c r="C240" s="2">
        <v>45873</v>
      </c>
      <c r="D240" s="2">
        <v>45894</v>
      </c>
      <c r="E240" s="2">
        <v>45895</v>
      </c>
      <c r="F240" t="s">
        <v>1209</v>
      </c>
    </row>
    <row r="241" spans="1:6">
      <c r="A241" t="s">
        <v>792</v>
      </c>
      <c r="B241" s="2">
        <v>45685</v>
      </c>
      <c r="C241" s="2">
        <v>45689</v>
      </c>
      <c r="D241" s="2">
        <v>45706</v>
      </c>
      <c r="E241" s="2">
        <v>45707</v>
      </c>
      <c r="F241" t="s">
        <v>1209</v>
      </c>
    </row>
    <row r="242" spans="1:6">
      <c r="A242" t="s">
        <v>793</v>
      </c>
      <c r="B242" s="2">
        <v>45889</v>
      </c>
      <c r="C242" s="2">
        <v>45900</v>
      </c>
      <c r="D242" t="s">
        <v>1207</v>
      </c>
      <c r="E242" t="s">
        <v>1207</v>
      </c>
      <c r="F242" t="s">
        <v>1212</v>
      </c>
    </row>
    <row r="243" spans="1:6">
      <c r="A243" t="s">
        <v>794</v>
      </c>
      <c r="B243" s="2">
        <v>45923</v>
      </c>
      <c r="C243" t="s">
        <v>1207</v>
      </c>
      <c r="D243" t="s">
        <v>1207</v>
      </c>
      <c r="E243" t="s">
        <v>1207</v>
      </c>
      <c r="F243" t="s">
        <v>1212</v>
      </c>
    </row>
    <row r="244" spans="1:6">
      <c r="A244" t="s">
        <v>795</v>
      </c>
      <c r="B244" s="2">
        <v>45871</v>
      </c>
      <c r="C244" s="2">
        <v>45885</v>
      </c>
      <c r="D244" t="s">
        <v>1207</v>
      </c>
      <c r="E244" t="s">
        <v>1207</v>
      </c>
      <c r="F244" t="s">
        <v>1208</v>
      </c>
    </row>
    <row r="245" spans="1:6">
      <c r="A245" t="s">
        <v>796</v>
      </c>
      <c r="B245" s="2">
        <v>45826</v>
      </c>
      <c r="C245" s="2">
        <v>45828</v>
      </c>
      <c r="D245" t="s">
        <v>1207</v>
      </c>
      <c r="E245" t="s">
        <v>1207</v>
      </c>
      <c r="F245" t="s">
        <v>1209</v>
      </c>
    </row>
    <row r="246" spans="1:6">
      <c r="A246" t="s">
        <v>797</v>
      </c>
      <c r="B246" s="2">
        <v>45722</v>
      </c>
      <c r="C246" s="2">
        <v>45724</v>
      </c>
      <c r="D246" t="s">
        <v>1207</v>
      </c>
      <c r="E246" t="s">
        <v>1207</v>
      </c>
      <c r="F246" t="s">
        <v>1212</v>
      </c>
    </row>
    <row r="247" spans="1:6">
      <c r="A247" t="s">
        <v>798</v>
      </c>
      <c r="B247" s="2">
        <v>45973</v>
      </c>
      <c r="C247" s="2">
        <v>45974</v>
      </c>
      <c r="D247" s="2">
        <v>45975</v>
      </c>
      <c r="E247" s="2">
        <v>45976</v>
      </c>
      <c r="F247" t="s">
        <v>1209</v>
      </c>
    </row>
    <row r="248" spans="1:6">
      <c r="A248" t="s">
        <v>799</v>
      </c>
      <c r="B248" s="2">
        <v>45928</v>
      </c>
      <c r="C248" s="2">
        <v>45934</v>
      </c>
      <c r="D248" s="2">
        <v>45946</v>
      </c>
      <c r="E248" s="2">
        <v>45947</v>
      </c>
      <c r="F248" t="s">
        <v>1209</v>
      </c>
    </row>
    <row r="249" spans="1:6">
      <c r="A249" t="s">
        <v>800</v>
      </c>
      <c r="B249" s="2">
        <v>45775</v>
      </c>
      <c r="C249" s="2">
        <v>45785</v>
      </c>
      <c r="D249" s="2">
        <v>45799</v>
      </c>
      <c r="E249" s="2">
        <v>45800</v>
      </c>
      <c r="F249" t="s">
        <v>1209</v>
      </c>
    </row>
    <row r="250" spans="1:6">
      <c r="A250" t="s">
        <v>801</v>
      </c>
      <c r="B250" s="2">
        <v>45683</v>
      </c>
      <c r="C250" t="s">
        <v>1207</v>
      </c>
      <c r="D250" s="2">
        <v>45717</v>
      </c>
      <c r="E250" s="2">
        <v>45718</v>
      </c>
      <c r="F250" t="s">
        <v>1209</v>
      </c>
    </row>
    <row r="251" spans="1:6">
      <c r="A251" t="s">
        <v>802</v>
      </c>
      <c r="B251" s="2">
        <v>45738</v>
      </c>
      <c r="C251" s="2">
        <v>45742</v>
      </c>
      <c r="D251" s="2">
        <v>45759</v>
      </c>
      <c r="E251" s="2">
        <v>45760</v>
      </c>
      <c r="F251" t="s">
        <v>1209</v>
      </c>
    </row>
    <row r="252" spans="1:6">
      <c r="A252" t="s">
        <v>803</v>
      </c>
      <c r="B252" s="2">
        <v>46013</v>
      </c>
      <c r="C252" s="2">
        <v>46023</v>
      </c>
      <c r="D252" t="s">
        <v>1207</v>
      </c>
      <c r="E252" t="s">
        <v>1207</v>
      </c>
      <c r="F252" t="s">
        <v>1211</v>
      </c>
    </row>
    <row r="253" spans="1:6">
      <c r="A253" t="s">
        <v>804</v>
      </c>
      <c r="B253" s="2">
        <v>45980</v>
      </c>
      <c r="C253" s="2">
        <v>45992</v>
      </c>
      <c r="D253" s="2">
        <v>46005</v>
      </c>
      <c r="E253" s="2">
        <v>46006</v>
      </c>
      <c r="F253" t="s">
        <v>1210</v>
      </c>
    </row>
    <row r="254" spans="1:6">
      <c r="A254" t="s">
        <v>805</v>
      </c>
      <c r="B254" s="2">
        <v>45955</v>
      </c>
      <c r="C254" t="s">
        <v>1207</v>
      </c>
      <c r="D254" s="2">
        <v>45957</v>
      </c>
      <c r="E254" s="2">
        <v>45958</v>
      </c>
      <c r="F254" t="s">
        <v>1209</v>
      </c>
    </row>
    <row r="255" spans="1:6">
      <c r="A255" t="s">
        <v>806</v>
      </c>
      <c r="B255" s="2">
        <v>45998</v>
      </c>
      <c r="C255" s="2">
        <v>46009</v>
      </c>
      <c r="D255" t="s">
        <v>1207</v>
      </c>
      <c r="E255" t="s">
        <v>1207</v>
      </c>
      <c r="F255" t="s">
        <v>1209</v>
      </c>
    </row>
    <row r="256" spans="1:6">
      <c r="A256" t="s">
        <v>807</v>
      </c>
      <c r="B256" s="2">
        <v>45707</v>
      </c>
      <c r="C256" s="2">
        <v>45712</v>
      </c>
      <c r="D256" s="2">
        <v>45721</v>
      </c>
      <c r="E256" s="2">
        <v>45722</v>
      </c>
      <c r="F256" t="s">
        <v>1209</v>
      </c>
    </row>
    <row r="257" spans="1:6">
      <c r="A257" t="s">
        <v>808</v>
      </c>
      <c r="B257" s="2">
        <v>45904</v>
      </c>
      <c r="C257" s="2">
        <v>45903</v>
      </c>
      <c r="D257" t="s">
        <v>1207</v>
      </c>
      <c r="E257" t="s">
        <v>1207</v>
      </c>
      <c r="F257" t="s">
        <v>1211</v>
      </c>
    </row>
    <row r="258" spans="1:6">
      <c r="A258" t="s">
        <v>809</v>
      </c>
      <c r="B258" s="2">
        <v>45880</v>
      </c>
      <c r="C258" s="2">
        <v>45882</v>
      </c>
      <c r="D258" s="2">
        <v>45877</v>
      </c>
      <c r="E258" s="2">
        <v>45878</v>
      </c>
      <c r="F258" t="s">
        <v>1209</v>
      </c>
    </row>
    <row r="259" spans="1:6">
      <c r="A259" t="s">
        <v>810</v>
      </c>
      <c r="B259" s="2">
        <v>45846</v>
      </c>
      <c r="C259" t="s">
        <v>1207</v>
      </c>
      <c r="D259" s="2">
        <v>45883</v>
      </c>
      <c r="E259" s="2">
        <v>45884</v>
      </c>
      <c r="F259" t="s">
        <v>1209</v>
      </c>
    </row>
    <row r="260" spans="1:6">
      <c r="A260" t="s">
        <v>811</v>
      </c>
      <c r="B260" s="2">
        <v>45980</v>
      </c>
      <c r="C260" s="2">
        <v>45980</v>
      </c>
      <c r="D260" s="2">
        <v>45991</v>
      </c>
      <c r="E260" s="2">
        <v>45992</v>
      </c>
      <c r="F260" t="s">
        <v>1209</v>
      </c>
    </row>
    <row r="261" spans="1:6">
      <c r="A261" t="s">
        <v>812</v>
      </c>
      <c r="B261" s="2">
        <v>45893</v>
      </c>
      <c r="C261" s="2">
        <v>45899</v>
      </c>
      <c r="D261" t="s">
        <v>1207</v>
      </c>
      <c r="E261" t="s">
        <v>1207</v>
      </c>
      <c r="F261" t="s">
        <v>1212</v>
      </c>
    </row>
    <row r="262" spans="1:6">
      <c r="A262" t="s">
        <v>813</v>
      </c>
      <c r="B262" s="2">
        <v>45679</v>
      </c>
      <c r="C262" s="2">
        <v>45687</v>
      </c>
      <c r="D262" t="s">
        <v>1207</v>
      </c>
      <c r="E262" t="s">
        <v>1207</v>
      </c>
      <c r="F262" t="s">
        <v>1208</v>
      </c>
    </row>
    <row r="263" spans="1:6">
      <c r="A263" t="s">
        <v>814</v>
      </c>
      <c r="B263" s="2">
        <v>46005</v>
      </c>
      <c r="C263" t="s">
        <v>1207</v>
      </c>
      <c r="D263" t="s">
        <v>1207</v>
      </c>
      <c r="E263" t="s">
        <v>1207</v>
      </c>
      <c r="F263" t="s">
        <v>1212</v>
      </c>
    </row>
    <row r="264" spans="1:6">
      <c r="A264" t="s">
        <v>815</v>
      </c>
      <c r="B264" s="2">
        <v>45707</v>
      </c>
      <c r="C264" s="2">
        <v>45717</v>
      </c>
      <c r="D264" t="s">
        <v>1207</v>
      </c>
      <c r="E264" t="s">
        <v>1207</v>
      </c>
      <c r="F264" t="s">
        <v>1209</v>
      </c>
    </row>
    <row r="265" spans="1:6">
      <c r="A265" t="s">
        <v>816</v>
      </c>
      <c r="B265" s="2">
        <v>45719</v>
      </c>
      <c r="C265" t="s">
        <v>1207</v>
      </c>
      <c r="D265" s="2">
        <v>45727</v>
      </c>
      <c r="E265" s="2">
        <v>45728</v>
      </c>
      <c r="F265" t="s">
        <v>1209</v>
      </c>
    </row>
    <row r="266" spans="1:6">
      <c r="A266" t="s">
        <v>817</v>
      </c>
      <c r="B266" s="2">
        <v>45875</v>
      </c>
      <c r="C266" s="2">
        <v>45874</v>
      </c>
      <c r="D266" s="2">
        <v>45867</v>
      </c>
      <c r="E266" s="2">
        <v>45868</v>
      </c>
      <c r="F266" t="s">
        <v>1209</v>
      </c>
    </row>
    <row r="267" spans="1:6">
      <c r="A267" t="s">
        <v>818</v>
      </c>
      <c r="B267" s="2">
        <v>45659</v>
      </c>
      <c r="C267" s="2">
        <v>45668</v>
      </c>
      <c r="D267" s="2">
        <v>45670</v>
      </c>
      <c r="E267" s="2">
        <v>45671</v>
      </c>
      <c r="F267" t="s">
        <v>1209</v>
      </c>
    </row>
    <row r="268" spans="1:6">
      <c r="A268" t="s">
        <v>819</v>
      </c>
      <c r="B268" s="2">
        <v>45953</v>
      </c>
      <c r="C268" s="2">
        <v>45955</v>
      </c>
      <c r="D268" s="2">
        <v>45961</v>
      </c>
      <c r="E268" s="2">
        <v>45962</v>
      </c>
      <c r="F268" t="s">
        <v>1209</v>
      </c>
    </row>
    <row r="269" spans="1:6">
      <c r="A269" t="s">
        <v>820</v>
      </c>
      <c r="B269" s="2">
        <v>45852</v>
      </c>
      <c r="C269" s="2">
        <v>45857</v>
      </c>
      <c r="D269" s="2">
        <v>45867</v>
      </c>
      <c r="E269" s="2">
        <v>45868</v>
      </c>
      <c r="F269" t="s">
        <v>1210</v>
      </c>
    </row>
    <row r="270" spans="1:6">
      <c r="A270" t="s">
        <v>821</v>
      </c>
      <c r="B270" s="2">
        <v>45873</v>
      </c>
      <c r="C270" s="2">
        <v>45878</v>
      </c>
      <c r="D270" s="2">
        <v>45884</v>
      </c>
      <c r="E270" s="2">
        <v>45885</v>
      </c>
      <c r="F270" t="s">
        <v>1209</v>
      </c>
    </row>
    <row r="271" spans="1:6">
      <c r="A271" t="s">
        <v>822</v>
      </c>
      <c r="B271" s="2">
        <v>45894</v>
      </c>
      <c r="C271" s="2">
        <v>45903</v>
      </c>
      <c r="D271" s="2">
        <v>45908</v>
      </c>
      <c r="E271" s="2">
        <v>45909</v>
      </c>
      <c r="F271" t="s">
        <v>1209</v>
      </c>
    </row>
    <row r="272" spans="1:6">
      <c r="A272" t="s">
        <v>823</v>
      </c>
      <c r="B272" s="2">
        <v>45950</v>
      </c>
      <c r="C272" s="2">
        <v>45960</v>
      </c>
      <c r="D272" s="2">
        <v>45972</v>
      </c>
      <c r="E272" s="2">
        <v>45973</v>
      </c>
      <c r="F272" t="s">
        <v>1209</v>
      </c>
    </row>
    <row r="273" spans="1:6">
      <c r="A273" t="s">
        <v>824</v>
      </c>
      <c r="B273" s="2">
        <v>45774</v>
      </c>
      <c r="C273" s="2">
        <v>45777</v>
      </c>
      <c r="D273" s="2">
        <v>45796</v>
      </c>
      <c r="E273" s="2">
        <v>45797</v>
      </c>
      <c r="F273" t="s">
        <v>1209</v>
      </c>
    </row>
    <row r="274" spans="1:6">
      <c r="A274" t="s">
        <v>825</v>
      </c>
      <c r="B274" s="2">
        <v>45741</v>
      </c>
      <c r="C274" s="2">
        <v>45739</v>
      </c>
      <c r="D274" s="2">
        <v>45748</v>
      </c>
      <c r="E274" s="2">
        <v>45749</v>
      </c>
      <c r="F274" t="s">
        <v>1209</v>
      </c>
    </row>
    <row r="275" spans="1:6">
      <c r="A275" t="s">
        <v>826</v>
      </c>
      <c r="B275" s="2">
        <v>45980</v>
      </c>
      <c r="C275" s="2">
        <v>45992</v>
      </c>
      <c r="D275" s="2">
        <v>46009</v>
      </c>
      <c r="E275" s="2">
        <v>46010</v>
      </c>
      <c r="F275" t="s">
        <v>1209</v>
      </c>
    </row>
    <row r="276" spans="1:6">
      <c r="A276" t="s">
        <v>827</v>
      </c>
      <c r="B276" s="2">
        <v>45786</v>
      </c>
      <c r="C276" s="2">
        <v>45797</v>
      </c>
      <c r="D276" s="2">
        <v>45815</v>
      </c>
      <c r="E276" s="2">
        <v>45816</v>
      </c>
      <c r="F276" t="s">
        <v>1209</v>
      </c>
    </row>
    <row r="277" spans="1:6">
      <c r="A277" t="s">
        <v>828</v>
      </c>
      <c r="B277" s="2">
        <v>45712</v>
      </c>
      <c r="C277" s="2">
        <v>45718</v>
      </c>
      <c r="D277" t="s">
        <v>1207</v>
      </c>
      <c r="E277" t="s">
        <v>1207</v>
      </c>
      <c r="F277" t="s">
        <v>1209</v>
      </c>
    </row>
    <row r="278" spans="1:6">
      <c r="A278" t="s">
        <v>829</v>
      </c>
      <c r="B278" s="2">
        <v>45739</v>
      </c>
      <c r="C278" s="2">
        <v>45740</v>
      </c>
      <c r="D278" s="2">
        <v>45758</v>
      </c>
      <c r="E278" s="2">
        <v>45759</v>
      </c>
      <c r="F278" t="s">
        <v>1209</v>
      </c>
    </row>
    <row r="279" spans="1:6">
      <c r="A279" t="s">
        <v>830</v>
      </c>
      <c r="B279" s="2">
        <v>45782</v>
      </c>
      <c r="C279" s="2">
        <v>45788</v>
      </c>
      <c r="D279" s="2">
        <v>45793</v>
      </c>
      <c r="E279" s="2">
        <v>45794</v>
      </c>
      <c r="F279" t="s">
        <v>1209</v>
      </c>
    </row>
    <row r="280" spans="1:6">
      <c r="A280" t="s">
        <v>831</v>
      </c>
      <c r="B280" s="2">
        <v>45913</v>
      </c>
      <c r="C280" s="2">
        <v>45913</v>
      </c>
      <c r="D280" s="2">
        <v>45909</v>
      </c>
      <c r="E280" s="2">
        <v>45910</v>
      </c>
      <c r="F280" t="s">
        <v>1209</v>
      </c>
    </row>
    <row r="281" spans="1:6">
      <c r="A281" t="s">
        <v>832</v>
      </c>
      <c r="B281" s="2">
        <v>45704</v>
      </c>
      <c r="C281" s="2">
        <v>45705</v>
      </c>
      <c r="D281" s="2">
        <v>45736</v>
      </c>
      <c r="E281" s="2">
        <v>45737</v>
      </c>
      <c r="F281" t="s">
        <v>1209</v>
      </c>
    </row>
    <row r="282" spans="1:6">
      <c r="A282" t="s">
        <v>833</v>
      </c>
      <c r="B282" s="2">
        <v>45957</v>
      </c>
      <c r="C282" s="2">
        <v>45967</v>
      </c>
      <c r="D282" s="2">
        <v>45972</v>
      </c>
      <c r="E282" s="2">
        <v>45973</v>
      </c>
      <c r="F282" t="s">
        <v>1209</v>
      </c>
    </row>
    <row r="283" spans="1:6">
      <c r="A283" t="s">
        <v>834</v>
      </c>
      <c r="B283" s="2">
        <v>45765</v>
      </c>
      <c r="C283" s="2">
        <v>45767</v>
      </c>
      <c r="D283" s="2">
        <v>45771</v>
      </c>
      <c r="E283" s="2">
        <v>45772</v>
      </c>
      <c r="F283" t="s">
        <v>1210</v>
      </c>
    </row>
    <row r="284" spans="1:6">
      <c r="A284" t="s">
        <v>835</v>
      </c>
      <c r="B284" s="2">
        <v>45661</v>
      </c>
      <c r="C284" s="2">
        <v>45659</v>
      </c>
      <c r="D284" s="2">
        <v>45662</v>
      </c>
      <c r="E284" s="2">
        <v>45663</v>
      </c>
      <c r="F284" t="s">
        <v>1209</v>
      </c>
    </row>
    <row r="285" spans="1:6">
      <c r="A285" t="s">
        <v>836</v>
      </c>
      <c r="B285" s="2">
        <v>45890</v>
      </c>
      <c r="C285" s="2">
        <v>45894</v>
      </c>
      <c r="D285" s="2">
        <v>45911</v>
      </c>
      <c r="E285" s="2">
        <v>45912</v>
      </c>
      <c r="F285" t="s">
        <v>1209</v>
      </c>
    </row>
    <row r="286" spans="1:6">
      <c r="A286" t="s">
        <v>837</v>
      </c>
      <c r="B286" s="2">
        <v>45745</v>
      </c>
      <c r="C286" t="s">
        <v>1207</v>
      </c>
      <c r="D286" t="s">
        <v>1207</v>
      </c>
      <c r="E286" t="s">
        <v>1207</v>
      </c>
      <c r="F286" t="s">
        <v>1210</v>
      </c>
    </row>
    <row r="287" spans="1:6">
      <c r="A287" t="s">
        <v>838</v>
      </c>
      <c r="B287" s="2">
        <v>45937</v>
      </c>
      <c r="C287" s="2">
        <v>45936</v>
      </c>
      <c r="D287" s="2">
        <v>45945</v>
      </c>
      <c r="E287" s="2">
        <v>45946</v>
      </c>
      <c r="F287" t="s">
        <v>1209</v>
      </c>
    </row>
    <row r="288" spans="1:6">
      <c r="A288" t="s">
        <v>839</v>
      </c>
      <c r="B288" s="2">
        <v>45985</v>
      </c>
      <c r="C288" s="2">
        <v>45992</v>
      </c>
      <c r="D288" s="2">
        <v>46008</v>
      </c>
      <c r="E288" s="2">
        <v>46009</v>
      </c>
      <c r="F288" t="s">
        <v>1209</v>
      </c>
    </row>
    <row r="289" spans="1:6">
      <c r="A289" t="s">
        <v>840</v>
      </c>
      <c r="B289" s="2">
        <v>45699</v>
      </c>
      <c r="C289" s="2">
        <v>45710</v>
      </c>
      <c r="D289" s="2">
        <v>45724</v>
      </c>
      <c r="E289" s="2">
        <v>45725</v>
      </c>
      <c r="F289" t="s">
        <v>1209</v>
      </c>
    </row>
    <row r="290" spans="1:6">
      <c r="A290" t="s">
        <v>841</v>
      </c>
      <c r="B290" s="2">
        <v>45779</v>
      </c>
      <c r="C290" s="2">
        <v>45778</v>
      </c>
      <c r="D290" t="s">
        <v>1207</v>
      </c>
      <c r="E290" t="s">
        <v>1207</v>
      </c>
      <c r="F290" t="s">
        <v>1212</v>
      </c>
    </row>
    <row r="291" spans="1:6">
      <c r="A291" t="s">
        <v>842</v>
      </c>
      <c r="B291" s="2">
        <v>45972</v>
      </c>
      <c r="C291" s="2">
        <v>45983</v>
      </c>
      <c r="D291" s="2">
        <v>46004</v>
      </c>
      <c r="E291" s="2">
        <v>46005</v>
      </c>
      <c r="F291" t="s">
        <v>1208</v>
      </c>
    </row>
    <row r="292" spans="1:6">
      <c r="A292" t="s">
        <v>843</v>
      </c>
      <c r="B292" s="2">
        <v>45779</v>
      </c>
      <c r="C292" t="s">
        <v>1207</v>
      </c>
      <c r="D292" t="s">
        <v>1207</v>
      </c>
      <c r="E292" t="s">
        <v>1207</v>
      </c>
      <c r="F292" t="s">
        <v>1209</v>
      </c>
    </row>
    <row r="293" spans="1:6">
      <c r="A293" t="s">
        <v>844</v>
      </c>
      <c r="B293" s="2">
        <v>45859</v>
      </c>
      <c r="C293" s="2">
        <v>45863</v>
      </c>
      <c r="D293" s="2">
        <v>45875</v>
      </c>
      <c r="E293" s="2">
        <v>45876</v>
      </c>
      <c r="F293" t="s">
        <v>1209</v>
      </c>
    </row>
    <row r="294" spans="1:6">
      <c r="A294" t="s">
        <v>845</v>
      </c>
      <c r="B294" s="2">
        <v>45979</v>
      </c>
      <c r="C294" s="2">
        <v>45990</v>
      </c>
      <c r="D294" t="s">
        <v>1207</v>
      </c>
      <c r="E294" t="s">
        <v>1207</v>
      </c>
      <c r="F294" t="s">
        <v>1212</v>
      </c>
    </row>
    <row r="295" spans="1:6">
      <c r="A295" t="s">
        <v>846</v>
      </c>
      <c r="B295" s="2">
        <v>45886</v>
      </c>
      <c r="C295" s="2">
        <v>45894</v>
      </c>
      <c r="D295" s="2">
        <v>45908</v>
      </c>
      <c r="E295" s="2">
        <v>45909</v>
      </c>
      <c r="F295" t="s">
        <v>1209</v>
      </c>
    </row>
    <row r="296" spans="1:6">
      <c r="A296" t="s">
        <v>847</v>
      </c>
      <c r="B296" s="2">
        <v>45746</v>
      </c>
      <c r="C296" s="2">
        <v>45751</v>
      </c>
      <c r="D296" s="2">
        <v>45756</v>
      </c>
      <c r="E296" s="2">
        <v>45757</v>
      </c>
      <c r="F296" t="s">
        <v>1209</v>
      </c>
    </row>
    <row r="297" spans="1:6">
      <c r="A297" t="s">
        <v>848</v>
      </c>
      <c r="B297" s="2">
        <v>45918</v>
      </c>
      <c r="C297" s="2">
        <v>45927</v>
      </c>
      <c r="D297" s="2">
        <v>45923</v>
      </c>
      <c r="E297" s="2">
        <v>45924</v>
      </c>
      <c r="F297" t="s">
        <v>1211</v>
      </c>
    </row>
    <row r="298" spans="1:6">
      <c r="A298" t="s">
        <v>849</v>
      </c>
      <c r="B298" s="2">
        <v>45741</v>
      </c>
      <c r="C298" s="2">
        <v>45753</v>
      </c>
      <c r="D298" s="2">
        <v>45769</v>
      </c>
      <c r="E298" s="2">
        <v>45770</v>
      </c>
      <c r="F298" t="s">
        <v>1208</v>
      </c>
    </row>
    <row r="299" spans="1:6">
      <c r="A299" t="s">
        <v>850</v>
      </c>
      <c r="B299" s="2">
        <v>45999</v>
      </c>
      <c r="C299" s="2">
        <v>46009</v>
      </c>
      <c r="D299" t="s">
        <v>1207</v>
      </c>
      <c r="E299" t="s">
        <v>1207</v>
      </c>
      <c r="F299" t="s">
        <v>1208</v>
      </c>
    </row>
    <row r="300" spans="1:6">
      <c r="A300" t="s">
        <v>851</v>
      </c>
      <c r="B300" s="2">
        <v>45671</v>
      </c>
      <c r="C300" s="2">
        <v>45680</v>
      </c>
      <c r="D300" t="s">
        <v>1207</v>
      </c>
      <c r="E300" t="s">
        <v>1207</v>
      </c>
      <c r="F300" t="s">
        <v>1212</v>
      </c>
    </row>
    <row r="301" spans="1:6">
      <c r="A301" t="s">
        <v>852</v>
      </c>
      <c r="B301" s="2">
        <v>45852</v>
      </c>
      <c r="C301" s="2">
        <v>45854</v>
      </c>
      <c r="D301" s="2">
        <v>45882</v>
      </c>
      <c r="E301" s="2">
        <v>45883</v>
      </c>
      <c r="F301" t="s">
        <v>1209</v>
      </c>
    </row>
    <row r="302" spans="1:6">
      <c r="A302" t="s">
        <v>853</v>
      </c>
      <c r="B302" s="2">
        <v>45943</v>
      </c>
      <c r="C302" s="2">
        <v>45953</v>
      </c>
      <c r="D302" s="2">
        <v>45961</v>
      </c>
      <c r="E302" s="2">
        <v>45962</v>
      </c>
      <c r="F302" t="s">
        <v>1209</v>
      </c>
    </row>
    <row r="303" spans="1:6">
      <c r="A303" t="s">
        <v>854</v>
      </c>
      <c r="B303" s="2">
        <v>45664</v>
      </c>
      <c r="C303" s="2">
        <v>45664</v>
      </c>
      <c r="D303" t="s">
        <v>1207</v>
      </c>
      <c r="E303" t="s">
        <v>1207</v>
      </c>
      <c r="F303" t="s">
        <v>1210</v>
      </c>
    </row>
    <row r="304" spans="1:6">
      <c r="A304" t="s">
        <v>855</v>
      </c>
      <c r="B304" s="2">
        <v>45982</v>
      </c>
      <c r="C304" t="s">
        <v>1207</v>
      </c>
      <c r="D304" s="2">
        <v>46004</v>
      </c>
      <c r="E304" s="2">
        <v>46005</v>
      </c>
      <c r="F304" t="s">
        <v>1209</v>
      </c>
    </row>
    <row r="305" spans="1:6">
      <c r="A305" t="s">
        <v>856</v>
      </c>
      <c r="B305" s="2">
        <v>45889</v>
      </c>
      <c r="C305" s="2">
        <v>45896</v>
      </c>
      <c r="D305" s="2">
        <v>45901</v>
      </c>
      <c r="E305" s="2">
        <v>45902</v>
      </c>
      <c r="F305" t="s">
        <v>1209</v>
      </c>
    </row>
    <row r="306" spans="1:6">
      <c r="A306" t="s">
        <v>857</v>
      </c>
      <c r="B306" s="2">
        <v>45686</v>
      </c>
      <c r="C306" s="2">
        <v>45691</v>
      </c>
      <c r="D306" s="2">
        <v>45695</v>
      </c>
      <c r="E306" s="2">
        <v>45696</v>
      </c>
      <c r="F306" t="s">
        <v>1210</v>
      </c>
    </row>
    <row r="307" spans="1:6">
      <c r="A307" t="s">
        <v>858</v>
      </c>
      <c r="B307" s="2">
        <v>45692</v>
      </c>
      <c r="C307" s="2">
        <v>45702</v>
      </c>
      <c r="D307" s="2">
        <v>45712</v>
      </c>
      <c r="E307" s="2">
        <v>45713</v>
      </c>
      <c r="F307" t="s">
        <v>1209</v>
      </c>
    </row>
    <row r="308" spans="1:6">
      <c r="A308" t="s">
        <v>859</v>
      </c>
      <c r="B308" s="2">
        <v>45715</v>
      </c>
      <c r="C308" s="2">
        <v>45715</v>
      </c>
      <c r="D308" t="s">
        <v>1207</v>
      </c>
      <c r="E308" t="s">
        <v>1207</v>
      </c>
      <c r="F308" t="s">
        <v>1208</v>
      </c>
    </row>
    <row r="309" spans="1:6">
      <c r="A309" t="s">
        <v>860</v>
      </c>
      <c r="B309" s="2">
        <v>45714</v>
      </c>
      <c r="C309" s="2">
        <v>45714</v>
      </c>
      <c r="D309" s="2">
        <v>45717</v>
      </c>
      <c r="E309" s="2">
        <v>45718</v>
      </c>
      <c r="F309" t="s">
        <v>1209</v>
      </c>
    </row>
    <row r="310" spans="1:6">
      <c r="A310" t="s">
        <v>861</v>
      </c>
      <c r="B310" s="2">
        <v>45915</v>
      </c>
      <c r="C310" s="2">
        <v>45915</v>
      </c>
      <c r="D310" s="2">
        <v>45916</v>
      </c>
      <c r="E310" s="2">
        <v>45917</v>
      </c>
      <c r="F310" t="s">
        <v>1209</v>
      </c>
    </row>
    <row r="311" spans="1:6">
      <c r="A311" t="s">
        <v>862</v>
      </c>
      <c r="B311" s="2">
        <v>45793</v>
      </c>
      <c r="C311" s="2">
        <v>45805</v>
      </c>
      <c r="D311" t="s">
        <v>1207</v>
      </c>
      <c r="E311" t="s">
        <v>1207</v>
      </c>
      <c r="F311" t="s">
        <v>1208</v>
      </c>
    </row>
    <row r="312" spans="1:6">
      <c r="A312" t="s">
        <v>863</v>
      </c>
      <c r="B312" s="2">
        <v>45739</v>
      </c>
      <c r="C312" t="s">
        <v>1207</v>
      </c>
      <c r="D312" s="2">
        <v>45735</v>
      </c>
      <c r="E312" s="2">
        <v>45736</v>
      </c>
      <c r="F312" t="s">
        <v>1209</v>
      </c>
    </row>
    <row r="313" spans="1:6">
      <c r="A313" t="s">
        <v>864</v>
      </c>
      <c r="B313" s="2">
        <v>45990</v>
      </c>
      <c r="C313" s="2">
        <v>45995</v>
      </c>
      <c r="D313" s="2">
        <v>46003</v>
      </c>
      <c r="E313" s="2">
        <v>46004</v>
      </c>
      <c r="F313" t="s">
        <v>1210</v>
      </c>
    </row>
    <row r="314" spans="1:6">
      <c r="A314" t="s">
        <v>865</v>
      </c>
      <c r="B314" s="2">
        <v>45887</v>
      </c>
      <c r="C314" s="2">
        <v>45887</v>
      </c>
      <c r="D314" s="2">
        <v>45893</v>
      </c>
      <c r="E314" s="2">
        <v>45894</v>
      </c>
      <c r="F314" t="s">
        <v>1209</v>
      </c>
    </row>
    <row r="315" spans="1:6">
      <c r="A315" t="s">
        <v>866</v>
      </c>
      <c r="B315" s="2">
        <v>45955</v>
      </c>
      <c r="C315" s="2">
        <v>45956</v>
      </c>
      <c r="D315" s="2">
        <v>45957</v>
      </c>
      <c r="E315" s="2">
        <v>45958</v>
      </c>
      <c r="F315" t="s">
        <v>1212</v>
      </c>
    </row>
    <row r="316" spans="1:6">
      <c r="A316" t="s">
        <v>867</v>
      </c>
      <c r="B316" s="2">
        <v>45822</v>
      </c>
      <c r="C316" s="2">
        <v>45826</v>
      </c>
      <c r="D316" s="2">
        <v>45837</v>
      </c>
      <c r="E316" s="2">
        <v>45838</v>
      </c>
      <c r="F316" t="s">
        <v>1211</v>
      </c>
    </row>
    <row r="317" spans="1:6">
      <c r="A317" t="s">
        <v>868</v>
      </c>
      <c r="B317" s="2">
        <v>45833</v>
      </c>
      <c r="C317" s="2">
        <v>45839</v>
      </c>
      <c r="D317" s="2">
        <v>45858</v>
      </c>
      <c r="E317" s="2">
        <v>45859</v>
      </c>
      <c r="F317" t="s">
        <v>1209</v>
      </c>
    </row>
    <row r="318" spans="1:6">
      <c r="A318" t="s">
        <v>869</v>
      </c>
      <c r="B318" s="2">
        <v>45823</v>
      </c>
      <c r="C318" s="2">
        <v>45834</v>
      </c>
      <c r="D318" s="2">
        <v>45851</v>
      </c>
      <c r="E318" s="2">
        <v>45852</v>
      </c>
      <c r="F318" t="s">
        <v>1209</v>
      </c>
    </row>
    <row r="319" spans="1:6">
      <c r="A319" t="s">
        <v>870</v>
      </c>
      <c r="B319" s="2">
        <v>45681</v>
      </c>
      <c r="C319" s="2">
        <v>45689</v>
      </c>
      <c r="D319" t="s">
        <v>1207</v>
      </c>
      <c r="E319" t="s">
        <v>1207</v>
      </c>
      <c r="F319" t="s">
        <v>1211</v>
      </c>
    </row>
    <row r="320" spans="1:6">
      <c r="A320" t="s">
        <v>871</v>
      </c>
      <c r="B320" s="2">
        <v>45797</v>
      </c>
      <c r="C320" s="2">
        <v>45803</v>
      </c>
      <c r="D320" s="2">
        <v>45818</v>
      </c>
      <c r="E320" s="2">
        <v>45819</v>
      </c>
      <c r="F320" t="s">
        <v>1209</v>
      </c>
    </row>
    <row r="321" spans="1:6">
      <c r="A321" t="s">
        <v>872</v>
      </c>
      <c r="B321" s="2">
        <v>45714</v>
      </c>
      <c r="C321" s="2">
        <v>45714</v>
      </c>
      <c r="D321" t="s">
        <v>1207</v>
      </c>
      <c r="E321" t="s">
        <v>1207</v>
      </c>
      <c r="F321" t="s">
        <v>1211</v>
      </c>
    </row>
  </sheetData>
  <autoFilter xmlns:etc="http://www.wps.cn/officeDocument/2017/etCustomData" ref="A1:F321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1"/>
  <sheetViews>
    <sheetView workbookViewId="0">
      <pane ySplit="1" topLeftCell="A2" activePane="bottomLeft" state="frozen"/>
      <selection/>
      <selection pane="bottomLeft" activeCell="H14" sqref="H14"/>
    </sheetView>
  </sheetViews>
  <sheetFormatPr defaultColWidth="9" defaultRowHeight="14.5" outlineLevelCol="7"/>
  <cols>
    <col min="1" max="1" width="21" customWidth="1"/>
    <col min="2" max="2" width="12" customWidth="1"/>
    <col min="3" max="4" width="13" customWidth="1"/>
    <col min="5" max="5" width="20" customWidth="1"/>
    <col min="6" max="6" width="19" customWidth="1"/>
    <col min="7" max="7" width="18" customWidth="1"/>
  </cols>
  <sheetData>
    <row r="1" ht="30" customHeight="1" spans="1:8">
      <c r="A1" s="1" t="s">
        <v>1213</v>
      </c>
      <c r="B1" s="1" t="s">
        <v>22</v>
      </c>
      <c r="C1" s="1" t="s">
        <v>1214</v>
      </c>
      <c r="D1" s="1" t="s">
        <v>1215</v>
      </c>
      <c r="E1" s="1" t="s">
        <v>1216</v>
      </c>
      <c r="F1" s="1" t="s">
        <v>64</v>
      </c>
      <c r="G1" s="1" t="s">
        <v>62</v>
      </c>
      <c r="H1" t="s">
        <v>1217</v>
      </c>
    </row>
    <row r="2" spans="1:8">
      <c r="A2" s="2">
        <v>45658</v>
      </c>
      <c r="B2" t="s">
        <v>65</v>
      </c>
      <c r="C2">
        <v>365</v>
      </c>
      <c r="D2">
        <v>50</v>
      </c>
      <c r="E2">
        <v>75</v>
      </c>
      <c r="F2">
        <v>142</v>
      </c>
      <c r="G2">
        <v>86</v>
      </c>
      <c r="H2" t="str">
        <f>IF(C2&lt;=_xlfn.XLOOKUP(B2,Products!A:A,Products!I:I),"REORDER REVIEW","Stock OK")</f>
        <v>Stock OK</v>
      </c>
    </row>
    <row r="3" spans="1:8">
      <c r="A3" s="2">
        <v>45689</v>
      </c>
      <c r="B3" t="s">
        <v>65</v>
      </c>
      <c r="C3">
        <v>375</v>
      </c>
      <c r="D3">
        <v>50</v>
      </c>
      <c r="E3">
        <v>90</v>
      </c>
      <c r="F3">
        <v>142</v>
      </c>
      <c r="G3">
        <v>86</v>
      </c>
      <c r="H3" t="str">
        <f>IF(C3&lt;=_xlfn.XLOOKUP(B3,Products!A:A,Products!I:I),"REORDER REVIEW","Stock OK")</f>
        <v>Stock OK</v>
      </c>
    </row>
    <row r="4" spans="1:8">
      <c r="A4" s="2">
        <v>45717</v>
      </c>
      <c r="B4" t="s">
        <v>65</v>
      </c>
      <c r="C4">
        <v>443</v>
      </c>
      <c r="D4">
        <v>50</v>
      </c>
      <c r="E4">
        <v>132</v>
      </c>
      <c r="F4">
        <v>142</v>
      </c>
      <c r="G4">
        <v>86</v>
      </c>
      <c r="H4" t="str">
        <f>IF(C4&lt;=_xlfn.XLOOKUP(B4,Products!A:A,Products!I:I),"REORDER REVIEW","Stock OK")</f>
        <v>Stock OK</v>
      </c>
    </row>
    <row r="5" spans="1:8">
      <c r="A5" s="2">
        <v>45748</v>
      </c>
      <c r="B5" t="s">
        <v>65</v>
      </c>
      <c r="C5">
        <v>565</v>
      </c>
      <c r="D5">
        <v>0</v>
      </c>
      <c r="E5">
        <v>78</v>
      </c>
      <c r="F5">
        <v>142</v>
      </c>
      <c r="G5">
        <v>86</v>
      </c>
      <c r="H5" t="str">
        <f>IF(C5&lt;=_xlfn.XLOOKUP(B5,Products!A:A,Products!I:I),"REORDER REVIEW","Stock OK")</f>
        <v>Stock OK</v>
      </c>
    </row>
    <row r="6" spans="1:8">
      <c r="A6" s="2">
        <v>45778</v>
      </c>
      <c r="B6" t="s">
        <v>65</v>
      </c>
      <c r="C6">
        <v>536</v>
      </c>
      <c r="D6">
        <v>50</v>
      </c>
      <c r="E6">
        <v>29</v>
      </c>
      <c r="F6">
        <v>142</v>
      </c>
      <c r="G6">
        <v>86</v>
      </c>
      <c r="H6" t="str">
        <f>IF(C6&lt;=_xlfn.XLOOKUP(B6,Products!A:A,Products!I:I),"REORDER REVIEW","Stock OK")</f>
        <v>Stock OK</v>
      </c>
    </row>
    <row r="7" spans="1:8">
      <c r="A7" s="2">
        <v>45809</v>
      </c>
      <c r="B7" t="s">
        <v>65</v>
      </c>
      <c r="C7">
        <v>525</v>
      </c>
      <c r="D7">
        <v>0</v>
      </c>
      <c r="E7">
        <v>111</v>
      </c>
      <c r="F7">
        <v>142</v>
      </c>
      <c r="G7">
        <v>86</v>
      </c>
      <c r="H7" t="str">
        <f>IF(C7&lt;=_xlfn.XLOOKUP(B7,Products!A:A,Products!I:I),"REORDER REVIEW","Stock OK")</f>
        <v>Stock OK</v>
      </c>
    </row>
    <row r="8" spans="1:8">
      <c r="A8" s="2">
        <v>45839</v>
      </c>
      <c r="B8" t="s">
        <v>65</v>
      </c>
      <c r="C8">
        <v>364</v>
      </c>
      <c r="D8">
        <v>50</v>
      </c>
      <c r="E8">
        <v>161</v>
      </c>
      <c r="F8">
        <v>142</v>
      </c>
      <c r="G8">
        <v>86</v>
      </c>
      <c r="H8" t="str">
        <f>IF(C8&lt;=_xlfn.XLOOKUP(B8,Products!A:A,Products!I:I),"REORDER REVIEW","Stock OK")</f>
        <v>Stock OK</v>
      </c>
    </row>
    <row r="9" spans="1:8">
      <c r="A9" s="2">
        <v>45870</v>
      </c>
      <c r="B9" t="s">
        <v>65</v>
      </c>
      <c r="C9">
        <v>371</v>
      </c>
      <c r="D9">
        <v>200</v>
      </c>
      <c r="E9">
        <v>193</v>
      </c>
      <c r="F9">
        <v>142</v>
      </c>
      <c r="G9">
        <v>86</v>
      </c>
      <c r="H9" t="str">
        <f>IF(C9&lt;=_xlfn.XLOOKUP(B9,Products!A:A,Products!I:I),"REORDER REVIEW","Stock OK")</f>
        <v>Stock OK</v>
      </c>
    </row>
    <row r="10" spans="1:8">
      <c r="A10" s="2">
        <v>45901</v>
      </c>
      <c r="B10" t="s">
        <v>65</v>
      </c>
      <c r="C10">
        <v>447</v>
      </c>
      <c r="D10">
        <v>100</v>
      </c>
      <c r="E10">
        <v>124</v>
      </c>
      <c r="F10">
        <v>142</v>
      </c>
      <c r="G10">
        <v>86</v>
      </c>
      <c r="H10" t="str">
        <f>IF(C10&lt;=_xlfn.XLOOKUP(B10,Products!A:A,Products!I:I),"REORDER REVIEW","Stock OK")</f>
        <v>Stock OK</v>
      </c>
    </row>
    <row r="11" spans="1:8">
      <c r="A11" s="2">
        <v>45931</v>
      </c>
      <c r="B11" t="s">
        <v>65</v>
      </c>
      <c r="C11">
        <v>629</v>
      </c>
      <c r="D11">
        <v>50</v>
      </c>
      <c r="E11">
        <v>118</v>
      </c>
      <c r="F11">
        <v>142</v>
      </c>
      <c r="G11">
        <v>86</v>
      </c>
      <c r="H11" t="str">
        <f>IF(C11&lt;=_xlfn.XLOOKUP(B11,Products!A:A,Products!I:I),"REORDER REVIEW","Stock OK")</f>
        <v>Stock OK</v>
      </c>
    </row>
    <row r="12" spans="1:8">
      <c r="A12" s="2">
        <v>45962</v>
      </c>
      <c r="B12" t="s">
        <v>65</v>
      </c>
      <c r="C12">
        <v>498</v>
      </c>
      <c r="D12">
        <v>50</v>
      </c>
      <c r="E12">
        <v>131</v>
      </c>
      <c r="F12">
        <v>142</v>
      </c>
      <c r="G12">
        <v>86</v>
      </c>
      <c r="H12" t="str">
        <f>IF(C12&lt;=_xlfn.XLOOKUP(B12,Products!A:A,Products!I:I),"REORDER REVIEW","Stock OK")</f>
        <v>Stock OK</v>
      </c>
    </row>
    <row r="13" spans="1:8">
      <c r="A13" s="2">
        <v>45992</v>
      </c>
      <c r="B13" t="s">
        <v>65</v>
      </c>
      <c r="C13">
        <v>714</v>
      </c>
      <c r="D13">
        <v>200</v>
      </c>
      <c r="E13">
        <v>84</v>
      </c>
      <c r="F13">
        <v>142</v>
      </c>
      <c r="G13">
        <v>86</v>
      </c>
      <c r="H13" t="str">
        <f>IF(C13&lt;=_xlfn.XLOOKUP(B13,Products!A:A,Products!I:I),"REORDER REVIEW","Stock OK")</f>
        <v>Stock OK</v>
      </c>
    </row>
    <row r="14" spans="1:8">
      <c r="A14" s="2">
        <v>45658</v>
      </c>
      <c r="B14" t="s">
        <v>68</v>
      </c>
      <c r="C14">
        <v>49</v>
      </c>
      <c r="D14">
        <v>100</v>
      </c>
      <c r="E14">
        <v>509</v>
      </c>
      <c r="F14">
        <v>352</v>
      </c>
      <c r="G14">
        <v>89</v>
      </c>
      <c r="H14" t="str">
        <f>IF(C14&lt;=_xlfn.XLOOKUP(B14,Products!A:A,Products!I:I),"REORDER REVIEW","Stock OK")</f>
        <v>REORDER REVIEW</v>
      </c>
    </row>
    <row r="15" spans="1:8">
      <c r="A15" s="2">
        <v>45689</v>
      </c>
      <c r="B15" t="s">
        <v>68</v>
      </c>
      <c r="C15">
        <v>0</v>
      </c>
      <c r="D15">
        <v>0</v>
      </c>
      <c r="E15">
        <v>620</v>
      </c>
      <c r="F15">
        <v>352</v>
      </c>
      <c r="G15">
        <v>89</v>
      </c>
      <c r="H15" t="str">
        <f>IF(C15&lt;=_xlfn.XLOOKUP(B15,Products!A:A,Products!I:I),"REORDER REVIEW","Stock OK")</f>
        <v>REORDER REVIEW</v>
      </c>
    </row>
    <row r="16" spans="1:8">
      <c r="A16" s="2">
        <v>45717</v>
      </c>
      <c r="B16" t="s">
        <v>68</v>
      </c>
      <c r="C16">
        <v>0</v>
      </c>
      <c r="D16">
        <v>100</v>
      </c>
      <c r="E16">
        <v>636</v>
      </c>
      <c r="F16">
        <v>352</v>
      </c>
      <c r="G16">
        <v>89</v>
      </c>
      <c r="H16" t="str">
        <f>IF(C16&lt;=_xlfn.XLOOKUP(B16,Products!A:A,Products!I:I),"REORDER REVIEW","Stock OK")</f>
        <v>REORDER REVIEW</v>
      </c>
    </row>
    <row r="17" spans="1:8">
      <c r="A17" s="2">
        <v>45748</v>
      </c>
      <c r="B17" t="s">
        <v>68</v>
      </c>
      <c r="C17">
        <v>0</v>
      </c>
      <c r="D17">
        <v>0</v>
      </c>
      <c r="E17">
        <v>567</v>
      </c>
      <c r="F17">
        <v>352</v>
      </c>
      <c r="G17">
        <v>89</v>
      </c>
      <c r="H17" t="str">
        <f>IF(C17&lt;=_xlfn.XLOOKUP(B17,Products!A:A,Products!I:I),"REORDER REVIEW","Stock OK")</f>
        <v>REORDER REVIEW</v>
      </c>
    </row>
    <row r="18" spans="1:8">
      <c r="A18" s="2">
        <v>45778</v>
      </c>
      <c r="B18" t="s">
        <v>68</v>
      </c>
      <c r="C18">
        <v>0</v>
      </c>
      <c r="D18">
        <v>50</v>
      </c>
      <c r="E18">
        <v>1130</v>
      </c>
      <c r="F18">
        <v>352</v>
      </c>
      <c r="G18">
        <v>89</v>
      </c>
      <c r="H18" t="str">
        <f>IF(C18&lt;=_xlfn.XLOOKUP(B18,Products!A:A,Products!I:I),"REORDER REVIEW","Stock OK")</f>
        <v>REORDER REVIEW</v>
      </c>
    </row>
    <row r="19" spans="1:8">
      <c r="A19" s="2">
        <v>45809</v>
      </c>
      <c r="B19" t="s">
        <v>68</v>
      </c>
      <c r="C19">
        <v>0</v>
      </c>
      <c r="D19">
        <v>0</v>
      </c>
      <c r="E19">
        <v>358</v>
      </c>
      <c r="F19">
        <v>352</v>
      </c>
      <c r="G19">
        <v>89</v>
      </c>
      <c r="H19" t="str">
        <f>IF(C19&lt;=_xlfn.XLOOKUP(B19,Products!A:A,Products!I:I),"REORDER REVIEW","Stock OK")</f>
        <v>REORDER REVIEW</v>
      </c>
    </row>
    <row r="20" spans="1:8">
      <c r="A20" s="2">
        <v>45839</v>
      </c>
      <c r="B20" t="s">
        <v>68</v>
      </c>
      <c r="C20">
        <v>0</v>
      </c>
      <c r="D20">
        <v>50</v>
      </c>
      <c r="E20">
        <v>805</v>
      </c>
      <c r="F20">
        <v>352</v>
      </c>
      <c r="G20">
        <v>89</v>
      </c>
      <c r="H20" t="str">
        <f>IF(C20&lt;=_xlfn.XLOOKUP(B20,Products!A:A,Products!I:I),"REORDER REVIEW","Stock OK")</f>
        <v>REORDER REVIEW</v>
      </c>
    </row>
    <row r="21" spans="1:8">
      <c r="A21" s="2">
        <v>45870</v>
      </c>
      <c r="B21" t="s">
        <v>68</v>
      </c>
      <c r="C21">
        <v>0</v>
      </c>
      <c r="D21">
        <v>100</v>
      </c>
      <c r="E21">
        <v>429</v>
      </c>
      <c r="F21">
        <v>352</v>
      </c>
      <c r="G21">
        <v>89</v>
      </c>
      <c r="H21" t="str">
        <f>IF(C21&lt;=_xlfn.XLOOKUP(B21,Products!A:A,Products!I:I),"REORDER REVIEW","Stock OK")</f>
        <v>REORDER REVIEW</v>
      </c>
    </row>
    <row r="22" spans="1:8">
      <c r="A22" s="2">
        <v>45901</v>
      </c>
      <c r="B22" t="s">
        <v>68</v>
      </c>
      <c r="C22">
        <v>0</v>
      </c>
      <c r="D22">
        <v>200</v>
      </c>
      <c r="E22">
        <v>661</v>
      </c>
      <c r="F22">
        <v>352</v>
      </c>
      <c r="G22">
        <v>89</v>
      </c>
      <c r="H22" t="str">
        <f>IF(C22&lt;=_xlfn.XLOOKUP(B22,Products!A:A,Products!I:I),"REORDER REVIEW","Stock OK")</f>
        <v>REORDER REVIEW</v>
      </c>
    </row>
    <row r="23" spans="1:8">
      <c r="A23" s="2">
        <v>45931</v>
      </c>
      <c r="B23" t="s">
        <v>68</v>
      </c>
      <c r="C23">
        <v>0</v>
      </c>
      <c r="D23">
        <v>0</v>
      </c>
      <c r="E23">
        <v>682</v>
      </c>
      <c r="F23">
        <v>352</v>
      </c>
      <c r="G23">
        <v>89</v>
      </c>
      <c r="H23" t="str">
        <f>IF(C23&lt;=_xlfn.XLOOKUP(B23,Products!A:A,Products!I:I),"REORDER REVIEW","Stock OK")</f>
        <v>REORDER REVIEW</v>
      </c>
    </row>
    <row r="24" spans="1:8">
      <c r="A24" s="2">
        <v>45962</v>
      </c>
      <c r="B24" t="s">
        <v>68</v>
      </c>
      <c r="C24">
        <v>0</v>
      </c>
      <c r="D24">
        <v>50</v>
      </c>
      <c r="E24">
        <v>334</v>
      </c>
      <c r="F24">
        <v>352</v>
      </c>
      <c r="G24">
        <v>89</v>
      </c>
      <c r="H24" t="str">
        <f>IF(C24&lt;=_xlfn.XLOOKUP(B24,Products!A:A,Products!I:I),"REORDER REVIEW","Stock OK")</f>
        <v>REORDER REVIEW</v>
      </c>
    </row>
    <row r="25" spans="1:8">
      <c r="A25" s="2">
        <v>45992</v>
      </c>
      <c r="B25" t="s">
        <v>68</v>
      </c>
      <c r="C25">
        <v>0</v>
      </c>
      <c r="D25">
        <v>200</v>
      </c>
      <c r="E25">
        <v>737</v>
      </c>
      <c r="F25">
        <v>352</v>
      </c>
      <c r="G25">
        <v>89</v>
      </c>
      <c r="H25" t="str">
        <f>IF(C25&lt;=_xlfn.XLOOKUP(B25,Products!A:A,Products!I:I),"REORDER REVIEW","Stock OK")</f>
        <v>REORDER REVIEW</v>
      </c>
    </row>
    <row r="26" spans="1:8">
      <c r="A26" s="2">
        <v>45658</v>
      </c>
      <c r="B26" t="s">
        <v>71</v>
      </c>
      <c r="C26">
        <v>0</v>
      </c>
      <c r="D26">
        <v>200</v>
      </c>
      <c r="E26">
        <v>941</v>
      </c>
      <c r="F26">
        <v>700</v>
      </c>
      <c r="G26">
        <v>16</v>
      </c>
      <c r="H26" t="str">
        <f>IF(C26&lt;=_xlfn.XLOOKUP(B26,Products!A:A,Products!I:I),"REORDER REVIEW","Stock OK")</f>
        <v>REORDER REVIEW</v>
      </c>
    </row>
    <row r="27" spans="1:8">
      <c r="A27" s="2">
        <v>45689</v>
      </c>
      <c r="B27" t="s">
        <v>71</v>
      </c>
      <c r="C27">
        <v>0</v>
      </c>
      <c r="D27">
        <v>50</v>
      </c>
      <c r="E27">
        <v>919</v>
      </c>
      <c r="F27">
        <v>700</v>
      </c>
      <c r="G27">
        <v>16</v>
      </c>
      <c r="H27" t="str">
        <f>IF(C27&lt;=_xlfn.XLOOKUP(B27,Products!A:A,Products!I:I),"REORDER REVIEW","Stock OK")</f>
        <v>REORDER REVIEW</v>
      </c>
    </row>
    <row r="28" spans="1:8">
      <c r="A28" s="2">
        <v>45717</v>
      </c>
      <c r="B28" t="s">
        <v>71</v>
      </c>
      <c r="C28">
        <v>0</v>
      </c>
      <c r="D28">
        <v>200</v>
      </c>
      <c r="E28">
        <v>761</v>
      </c>
      <c r="F28">
        <v>700</v>
      </c>
      <c r="G28">
        <v>16</v>
      </c>
      <c r="H28" t="str">
        <f>IF(C28&lt;=_xlfn.XLOOKUP(B28,Products!A:A,Products!I:I),"REORDER REVIEW","Stock OK")</f>
        <v>REORDER REVIEW</v>
      </c>
    </row>
    <row r="29" spans="1:8">
      <c r="A29" s="2">
        <v>45748</v>
      </c>
      <c r="B29" t="s">
        <v>71</v>
      </c>
      <c r="C29">
        <v>0</v>
      </c>
      <c r="D29">
        <v>0</v>
      </c>
      <c r="E29">
        <v>984</v>
      </c>
      <c r="F29">
        <v>700</v>
      </c>
      <c r="G29">
        <v>16</v>
      </c>
      <c r="H29" t="str">
        <f>IF(C29&lt;=_xlfn.XLOOKUP(B29,Products!A:A,Products!I:I),"REORDER REVIEW","Stock OK")</f>
        <v>REORDER REVIEW</v>
      </c>
    </row>
    <row r="30" spans="1:8">
      <c r="A30" s="2">
        <v>45778</v>
      </c>
      <c r="B30" t="s">
        <v>71</v>
      </c>
      <c r="C30">
        <v>0</v>
      </c>
      <c r="D30">
        <v>0</v>
      </c>
      <c r="E30">
        <v>1014</v>
      </c>
      <c r="F30">
        <v>700</v>
      </c>
      <c r="G30">
        <v>16</v>
      </c>
      <c r="H30" t="str">
        <f>IF(C30&lt;=_xlfn.XLOOKUP(B30,Products!A:A,Products!I:I),"REORDER REVIEW","Stock OK")</f>
        <v>REORDER REVIEW</v>
      </c>
    </row>
    <row r="31" spans="1:8">
      <c r="A31" s="2">
        <v>45809</v>
      </c>
      <c r="B31" t="s">
        <v>71</v>
      </c>
      <c r="C31">
        <v>0</v>
      </c>
      <c r="D31">
        <v>50</v>
      </c>
      <c r="E31">
        <v>549</v>
      </c>
      <c r="F31">
        <v>700</v>
      </c>
      <c r="G31">
        <v>16</v>
      </c>
      <c r="H31" t="str">
        <f>IF(C31&lt;=_xlfn.XLOOKUP(B31,Products!A:A,Products!I:I),"REORDER REVIEW","Stock OK")</f>
        <v>REORDER REVIEW</v>
      </c>
    </row>
    <row r="32" spans="1:8">
      <c r="A32" s="2">
        <v>45839</v>
      </c>
      <c r="B32" t="s">
        <v>71</v>
      </c>
      <c r="C32">
        <v>0</v>
      </c>
      <c r="D32">
        <v>0</v>
      </c>
      <c r="E32">
        <v>624</v>
      </c>
      <c r="F32">
        <v>700</v>
      </c>
      <c r="G32">
        <v>16</v>
      </c>
      <c r="H32" t="str">
        <f>IF(C32&lt;=_xlfn.XLOOKUP(B32,Products!A:A,Products!I:I),"REORDER REVIEW","Stock OK")</f>
        <v>REORDER REVIEW</v>
      </c>
    </row>
    <row r="33" spans="1:8">
      <c r="A33" s="2">
        <v>45870</v>
      </c>
      <c r="B33" t="s">
        <v>71</v>
      </c>
      <c r="C33">
        <v>0</v>
      </c>
      <c r="D33">
        <v>0</v>
      </c>
      <c r="E33">
        <v>934</v>
      </c>
      <c r="F33">
        <v>700</v>
      </c>
      <c r="G33">
        <v>16</v>
      </c>
      <c r="H33" t="str">
        <f>IF(C33&lt;=_xlfn.XLOOKUP(B33,Products!A:A,Products!I:I),"REORDER REVIEW","Stock OK")</f>
        <v>REORDER REVIEW</v>
      </c>
    </row>
    <row r="34" spans="1:8">
      <c r="A34" s="2">
        <v>45901</v>
      </c>
      <c r="B34" t="s">
        <v>71</v>
      </c>
      <c r="C34">
        <v>0</v>
      </c>
      <c r="D34">
        <v>200</v>
      </c>
      <c r="E34">
        <v>606</v>
      </c>
      <c r="F34">
        <v>700</v>
      </c>
      <c r="G34">
        <v>16</v>
      </c>
      <c r="H34" t="str">
        <f>IF(C34&lt;=_xlfn.XLOOKUP(B34,Products!A:A,Products!I:I),"REORDER REVIEW","Stock OK")</f>
        <v>REORDER REVIEW</v>
      </c>
    </row>
    <row r="35" spans="1:8">
      <c r="A35" s="2">
        <v>45931</v>
      </c>
      <c r="B35" t="s">
        <v>71</v>
      </c>
      <c r="C35">
        <v>0</v>
      </c>
      <c r="D35">
        <v>0</v>
      </c>
      <c r="E35">
        <v>785</v>
      </c>
      <c r="F35">
        <v>700</v>
      </c>
      <c r="G35">
        <v>16</v>
      </c>
      <c r="H35" t="str">
        <f>IF(C35&lt;=_xlfn.XLOOKUP(B35,Products!A:A,Products!I:I),"REORDER REVIEW","Stock OK")</f>
        <v>REORDER REVIEW</v>
      </c>
    </row>
    <row r="36" spans="1:8">
      <c r="A36" s="2">
        <v>45962</v>
      </c>
      <c r="B36" t="s">
        <v>71</v>
      </c>
      <c r="C36">
        <v>0</v>
      </c>
      <c r="D36">
        <v>0</v>
      </c>
      <c r="E36">
        <v>873</v>
      </c>
      <c r="F36">
        <v>700</v>
      </c>
      <c r="G36">
        <v>16</v>
      </c>
      <c r="H36" t="str">
        <f>IF(C36&lt;=_xlfn.XLOOKUP(B36,Products!A:A,Products!I:I),"REORDER REVIEW","Stock OK")</f>
        <v>REORDER REVIEW</v>
      </c>
    </row>
    <row r="37" spans="1:8">
      <c r="A37" s="2">
        <v>45992</v>
      </c>
      <c r="B37" t="s">
        <v>71</v>
      </c>
      <c r="C37">
        <v>0</v>
      </c>
      <c r="D37">
        <v>100</v>
      </c>
      <c r="E37">
        <v>843</v>
      </c>
      <c r="F37">
        <v>700</v>
      </c>
      <c r="G37">
        <v>16</v>
      </c>
      <c r="H37" t="str">
        <f>IF(C37&lt;=_xlfn.XLOOKUP(B37,Products!A:A,Products!I:I),"REORDER REVIEW","Stock OK")</f>
        <v>REORDER REVIEW</v>
      </c>
    </row>
    <row r="38" spans="1:8">
      <c r="A38" s="2">
        <v>45658</v>
      </c>
      <c r="B38" t="s">
        <v>74</v>
      </c>
      <c r="C38">
        <v>0</v>
      </c>
      <c r="D38">
        <v>200</v>
      </c>
      <c r="E38">
        <v>804</v>
      </c>
      <c r="F38">
        <v>375</v>
      </c>
      <c r="G38">
        <v>35</v>
      </c>
      <c r="H38" t="str">
        <f>IF(C38&lt;=_xlfn.XLOOKUP(B38,Products!A:A,Products!I:I),"REORDER REVIEW","Stock OK")</f>
        <v>REORDER REVIEW</v>
      </c>
    </row>
    <row r="39" spans="1:8">
      <c r="A39" s="2">
        <v>45689</v>
      </c>
      <c r="B39" t="s">
        <v>74</v>
      </c>
      <c r="C39">
        <v>0</v>
      </c>
      <c r="D39">
        <v>200</v>
      </c>
      <c r="E39">
        <v>608</v>
      </c>
      <c r="F39">
        <v>375</v>
      </c>
      <c r="G39">
        <v>35</v>
      </c>
      <c r="H39" t="str">
        <f>IF(C39&lt;=_xlfn.XLOOKUP(B39,Products!A:A,Products!I:I),"REORDER REVIEW","Stock OK")</f>
        <v>REORDER REVIEW</v>
      </c>
    </row>
    <row r="40" spans="1:8">
      <c r="A40" s="2">
        <v>45717</v>
      </c>
      <c r="B40" t="s">
        <v>74</v>
      </c>
      <c r="C40">
        <v>0</v>
      </c>
      <c r="D40">
        <v>0</v>
      </c>
      <c r="E40">
        <v>497</v>
      </c>
      <c r="F40">
        <v>375</v>
      </c>
      <c r="G40">
        <v>35</v>
      </c>
      <c r="H40" t="str">
        <f>IF(C40&lt;=_xlfn.XLOOKUP(B40,Products!A:A,Products!I:I),"REORDER REVIEW","Stock OK")</f>
        <v>REORDER REVIEW</v>
      </c>
    </row>
    <row r="41" spans="1:8">
      <c r="A41" s="2">
        <v>45748</v>
      </c>
      <c r="B41" t="s">
        <v>74</v>
      </c>
      <c r="C41">
        <v>0</v>
      </c>
      <c r="D41">
        <v>0</v>
      </c>
      <c r="E41">
        <v>582</v>
      </c>
      <c r="F41">
        <v>375</v>
      </c>
      <c r="G41">
        <v>35</v>
      </c>
      <c r="H41" t="str">
        <f>IF(C41&lt;=_xlfn.XLOOKUP(B41,Products!A:A,Products!I:I),"REORDER REVIEW","Stock OK")</f>
        <v>REORDER REVIEW</v>
      </c>
    </row>
    <row r="42" spans="1:8">
      <c r="A42" s="2">
        <v>45778</v>
      </c>
      <c r="B42" t="s">
        <v>74</v>
      </c>
      <c r="C42">
        <v>0</v>
      </c>
      <c r="D42">
        <v>0</v>
      </c>
      <c r="E42">
        <v>472</v>
      </c>
      <c r="F42">
        <v>375</v>
      </c>
      <c r="G42">
        <v>35</v>
      </c>
      <c r="H42" t="str">
        <f>IF(C42&lt;=_xlfn.XLOOKUP(B42,Products!A:A,Products!I:I),"REORDER REVIEW","Stock OK")</f>
        <v>REORDER REVIEW</v>
      </c>
    </row>
    <row r="43" spans="1:8">
      <c r="A43" s="2">
        <v>45809</v>
      </c>
      <c r="B43" t="s">
        <v>74</v>
      </c>
      <c r="C43">
        <v>0</v>
      </c>
      <c r="D43">
        <v>200</v>
      </c>
      <c r="E43">
        <v>253</v>
      </c>
      <c r="F43">
        <v>375</v>
      </c>
      <c r="G43">
        <v>35</v>
      </c>
      <c r="H43" t="str">
        <f>IF(C43&lt;=_xlfn.XLOOKUP(B43,Products!A:A,Products!I:I),"REORDER REVIEW","Stock OK")</f>
        <v>REORDER REVIEW</v>
      </c>
    </row>
    <row r="44" spans="1:8">
      <c r="A44" s="2">
        <v>45839</v>
      </c>
      <c r="B44" t="s">
        <v>74</v>
      </c>
      <c r="C44">
        <v>0</v>
      </c>
      <c r="D44">
        <v>50</v>
      </c>
      <c r="E44">
        <v>329</v>
      </c>
      <c r="F44">
        <v>375</v>
      </c>
      <c r="G44">
        <v>35</v>
      </c>
      <c r="H44" t="str">
        <f>IF(C44&lt;=_xlfn.XLOOKUP(B44,Products!A:A,Products!I:I),"REORDER REVIEW","Stock OK")</f>
        <v>REORDER REVIEW</v>
      </c>
    </row>
    <row r="45" spans="1:8">
      <c r="A45" s="2">
        <v>45870</v>
      </c>
      <c r="B45" t="s">
        <v>74</v>
      </c>
      <c r="C45">
        <v>0</v>
      </c>
      <c r="D45">
        <v>50</v>
      </c>
      <c r="E45">
        <v>586</v>
      </c>
      <c r="F45">
        <v>375</v>
      </c>
      <c r="G45">
        <v>35</v>
      </c>
      <c r="H45" t="str">
        <f>IF(C45&lt;=_xlfn.XLOOKUP(B45,Products!A:A,Products!I:I),"REORDER REVIEW","Stock OK")</f>
        <v>REORDER REVIEW</v>
      </c>
    </row>
    <row r="46" spans="1:8">
      <c r="A46" s="2">
        <v>45901</v>
      </c>
      <c r="B46" t="s">
        <v>74</v>
      </c>
      <c r="C46">
        <v>0</v>
      </c>
      <c r="D46">
        <v>0</v>
      </c>
      <c r="E46">
        <v>501</v>
      </c>
      <c r="F46">
        <v>375</v>
      </c>
      <c r="G46">
        <v>35</v>
      </c>
      <c r="H46" t="str">
        <f>IF(C46&lt;=_xlfn.XLOOKUP(B46,Products!A:A,Products!I:I),"REORDER REVIEW","Stock OK")</f>
        <v>REORDER REVIEW</v>
      </c>
    </row>
    <row r="47" spans="1:8">
      <c r="A47" s="2">
        <v>45931</v>
      </c>
      <c r="B47" t="s">
        <v>74</v>
      </c>
      <c r="C47">
        <v>0</v>
      </c>
      <c r="D47">
        <v>200</v>
      </c>
      <c r="E47">
        <v>442</v>
      </c>
      <c r="F47">
        <v>375</v>
      </c>
      <c r="G47">
        <v>35</v>
      </c>
      <c r="H47" t="str">
        <f>IF(C47&lt;=_xlfn.XLOOKUP(B47,Products!A:A,Products!I:I),"REORDER REVIEW","Stock OK")</f>
        <v>REORDER REVIEW</v>
      </c>
    </row>
    <row r="48" spans="1:8">
      <c r="A48" s="2">
        <v>45962</v>
      </c>
      <c r="B48" t="s">
        <v>74</v>
      </c>
      <c r="C48">
        <v>0</v>
      </c>
      <c r="D48">
        <v>0</v>
      </c>
      <c r="E48">
        <v>711</v>
      </c>
      <c r="F48">
        <v>375</v>
      </c>
      <c r="G48">
        <v>35</v>
      </c>
      <c r="H48" t="str">
        <f>IF(C48&lt;=_xlfn.XLOOKUP(B48,Products!A:A,Products!I:I),"REORDER REVIEW","Stock OK")</f>
        <v>REORDER REVIEW</v>
      </c>
    </row>
    <row r="49" spans="1:8">
      <c r="A49" s="2">
        <v>45992</v>
      </c>
      <c r="B49" t="s">
        <v>74</v>
      </c>
      <c r="C49">
        <v>0</v>
      </c>
      <c r="D49">
        <v>100</v>
      </c>
      <c r="E49">
        <v>421</v>
      </c>
      <c r="F49">
        <v>375</v>
      </c>
      <c r="G49">
        <v>35</v>
      </c>
      <c r="H49" t="str">
        <f>IF(C49&lt;=_xlfn.XLOOKUP(B49,Products!A:A,Products!I:I),"REORDER REVIEW","Stock OK")</f>
        <v>REORDER REVIEW</v>
      </c>
    </row>
    <row r="50" spans="1:8">
      <c r="A50" s="2">
        <v>45658</v>
      </c>
      <c r="B50" t="s">
        <v>77</v>
      </c>
      <c r="C50">
        <v>0</v>
      </c>
      <c r="D50">
        <v>0</v>
      </c>
      <c r="E50">
        <v>941</v>
      </c>
      <c r="F50">
        <v>505</v>
      </c>
      <c r="G50">
        <v>103</v>
      </c>
      <c r="H50" t="str">
        <f>IF(C50&lt;=_xlfn.XLOOKUP(B50,Products!A:A,Products!I:I),"REORDER REVIEW","Stock OK")</f>
        <v>REORDER REVIEW</v>
      </c>
    </row>
    <row r="51" spans="1:8">
      <c r="A51" s="2">
        <v>45689</v>
      </c>
      <c r="B51" t="s">
        <v>77</v>
      </c>
      <c r="C51">
        <v>0</v>
      </c>
      <c r="D51">
        <v>100</v>
      </c>
      <c r="E51">
        <v>726</v>
      </c>
      <c r="F51">
        <v>505</v>
      </c>
      <c r="G51">
        <v>103</v>
      </c>
      <c r="H51" t="str">
        <f>IF(C51&lt;=_xlfn.XLOOKUP(B51,Products!A:A,Products!I:I),"REORDER REVIEW","Stock OK")</f>
        <v>REORDER REVIEW</v>
      </c>
    </row>
    <row r="52" spans="1:8">
      <c r="A52" s="2">
        <v>45717</v>
      </c>
      <c r="B52" t="s">
        <v>77</v>
      </c>
      <c r="C52">
        <v>0</v>
      </c>
      <c r="D52">
        <v>100</v>
      </c>
      <c r="E52">
        <v>393</v>
      </c>
      <c r="F52">
        <v>505</v>
      </c>
      <c r="G52">
        <v>103</v>
      </c>
      <c r="H52" t="str">
        <f>IF(C52&lt;=_xlfn.XLOOKUP(B52,Products!A:A,Products!I:I),"REORDER REVIEW","Stock OK")</f>
        <v>REORDER REVIEW</v>
      </c>
    </row>
    <row r="53" spans="1:8">
      <c r="A53" s="2">
        <v>45748</v>
      </c>
      <c r="B53" t="s">
        <v>77</v>
      </c>
      <c r="C53">
        <v>0</v>
      </c>
      <c r="D53">
        <v>50</v>
      </c>
      <c r="E53">
        <v>405</v>
      </c>
      <c r="F53">
        <v>505</v>
      </c>
      <c r="G53">
        <v>103</v>
      </c>
      <c r="H53" t="str">
        <f>IF(C53&lt;=_xlfn.XLOOKUP(B53,Products!A:A,Products!I:I),"REORDER REVIEW","Stock OK")</f>
        <v>REORDER REVIEW</v>
      </c>
    </row>
    <row r="54" spans="1:8">
      <c r="A54" s="2">
        <v>45778</v>
      </c>
      <c r="B54" t="s">
        <v>77</v>
      </c>
      <c r="C54">
        <v>0</v>
      </c>
      <c r="D54">
        <v>0</v>
      </c>
      <c r="E54">
        <v>453</v>
      </c>
      <c r="F54">
        <v>505</v>
      </c>
      <c r="G54">
        <v>103</v>
      </c>
      <c r="H54" t="str">
        <f>IF(C54&lt;=_xlfn.XLOOKUP(B54,Products!A:A,Products!I:I),"REORDER REVIEW","Stock OK")</f>
        <v>REORDER REVIEW</v>
      </c>
    </row>
    <row r="55" spans="1:8">
      <c r="A55" s="2">
        <v>45809</v>
      </c>
      <c r="B55" t="s">
        <v>77</v>
      </c>
      <c r="C55">
        <v>0</v>
      </c>
      <c r="D55">
        <v>0</v>
      </c>
      <c r="E55">
        <v>738</v>
      </c>
      <c r="F55">
        <v>505</v>
      </c>
      <c r="G55">
        <v>103</v>
      </c>
      <c r="H55" t="str">
        <f>IF(C55&lt;=_xlfn.XLOOKUP(B55,Products!A:A,Products!I:I),"REORDER REVIEW","Stock OK")</f>
        <v>REORDER REVIEW</v>
      </c>
    </row>
    <row r="56" spans="1:8">
      <c r="A56" s="2">
        <v>45839</v>
      </c>
      <c r="B56" t="s">
        <v>77</v>
      </c>
      <c r="C56">
        <v>0</v>
      </c>
      <c r="D56">
        <v>0</v>
      </c>
      <c r="E56">
        <v>414</v>
      </c>
      <c r="F56">
        <v>505</v>
      </c>
      <c r="G56">
        <v>103</v>
      </c>
      <c r="H56" t="str">
        <f>IF(C56&lt;=_xlfn.XLOOKUP(B56,Products!A:A,Products!I:I),"REORDER REVIEW","Stock OK")</f>
        <v>REORDER REVIEW</v>
      </c>
    </row>
    <row r="57" spans="1:8">
      <c r="A57" s="2">
        <v>45870</v>
      </c>
      <c r="B57" t="s">
        <v>77</v>
      </c>
      <c r="C57">
        <v>0</v>
      </c>
      <c r="D57">
        <v>0</v>
      </c>
      <c r="E57">
        <v>746</v>
      </c>
      <c r="F57">
        <v>505</v>
      </c>
      <c r="G57">
        <v>103</v>
      </c>
      <c r="H57" t="str">
        <f>IF(C57&lt;=_xlfn.XLOOKUP(B57,Products!A:A,Products!I:I),"REORDER REVIEW","Stock OK")</f>
        <v>REORDER REVIEW</v>
      </c>
    </row>
    <row r="58" spans="1:8">
      <c r="A58" s="2">
        <v>45901</v>
      </c>
      <c r="B58" t="s">
        <v>77</v>
      </c>
      <c r="C58">
        <v>0</v>
      </c>
      <c r="D58">
        <v>0</v>
      </c>
      <c r="E58">
        <v>706</v>
      </c>
      <c r="F58">
        <v>505</v>
      </c>
      <c r="G58">
        <v>103</v>
      </c>
      <c r="H58" t="str">
        <f>IF(C58&lt;=_xlfn.XLOOKUP(B58,Products!A:A,Products!I:I),"REORDER REVIEW","Stock OK")</f>
        <v>REORDER REVIEW</v>
      </c>
    </row>
    <row r="59" spans="1:8">
      <c r="A59" s="2">
        <v>45931</v>
      </c>
      <c r="B59" t="s">
        <v>77</v>
      </c>
      <c r="C59">
        <v>0</v>
      </c>
      <c r="D59">
        <v>0</v>
      </c>
      <c r="E59">
        <v>745</v>
      </c>
      <c r="F59">
        <v>505</v>
      </c>
      <c r="G59">
        <v>103</v>
      </c>
      <c r="H59" t="str">
        <f>IF(C59&lt;=_xlfn.XLOOKUP(B59,Products!A:A,Products!I:I),"REORDER REVIEW","Stock OK")</f>
        <v>REORDER REVIEW</v>
      </c>
    </row>
    <row r="60" spans="1:8">
      <c r="A60" s="2">
        <v>45962</v>
      </c>
      <c r="B60" t="s">
        <v>77</v>
      </c>
      <c r="C60">
        <v>0</v>
      </c>
      <c r="D60">
        <v>100</v>
      </c>
      <c r="E60">
        <v>666</v>
      </c>
      <c r="F60">
        <v>505</v>
      </c>
      <c r="G60">
        <v>103</v>
      </c>
      <c r="H60" t="str">
        <f>IF(C60&lt;=_xlfn.XLOOKUP(B60,Products!A:A,Products!I:I),"REORDER REVIEW","Stock OK")</f>
        <v>REORDER REVIEW</v>
      </c>
    </row>
    <row r="61" spans="1:8">
      <c r="A61" s="2">
        <v>45992</v>
      </c>
      <c r="B61" t="s">
        <v>77</v>
      </c>
      <c r="C61">
        <v>0</v>
      </c>
      <c r="D61">
        <v>0</v>
      </c>
      <c r="E61">
        <v>552</v>
      </c>
      <c r="F61">
        <v>505</v>
      </c>
      <c r="G61">
        <v>103</v>
      </c>
      <c r="H61" t="str">
        <f>IF(C61&lt;=_xlfn.XLOOKUP(B61,Products!A:A,Products!I:I),"REORDER REVIEW","Stock OK")</f>
        <v>REORDER REVIEW</v>
      </c>
    </row>
    <row r="62" spans="1:8">
      <c r="A62" s="2">
        <v>45658</v>
      </c>
      <c r="B62" t="s">
        <v>80</v>
      </c>
      <c r="C62">
        <v>299</v>
      </c>
      <c r="D62">
        <v>100</v>
      </c>
      <c r="E62">
        <v>277</v>
      </c>
      <c r="F62">
        <v>115</v>
      </c>
      <c r="G62">
        <v>29</v>
      </c>
      <c r="H62" t="str">
        <f>IF(C62&lt;=_xlfn.XLOOKUP(B62,Products!A:A,Products!I:I),"REORDER REVIEW","Stock OK")</f>
        <v>Stock OK</v>
      </c>
    </row>
    <row r="63" spans="1:8">
      <c r="A63" s="2">
        <v>45689</v>
      </c>
      <c r="B63" t="s">
        <v>80</v>
      </c>
      <c r="C63">
        <v>219</v>
      </c>
      <c r="D63">
        <v>100</v>
      </c>
      <c r="E63">
        <v>180</v>
      </c>
      <c r="F63">
        <v>115</v>
      </c>
      <c r="G63">
        <v>29</v>
      </c>
      <c r="H63" t="str">
        <f>IF(C63&lt;=_xlfn.XLOOKUP(B63,Products!A:A,Products!I:I),"REORDER REVIEW","Stock OK")</f>
        <v>Stock OK</v>
      </c>
    </row>
    <row r="64" spans="1:8">
      <c r="A64" s="2">
        <v>45717</v>
      </c>
      <c r="B64" t="s">
        <v>80</v>
      </c>
      <c r="C64">
        <v>205</v>
      </c>
      <c r="D64">
        <v>50</v>
      </c>
      <c r="E64">
        <v>114</v>
      </c>
      <c r="F64">
        <v>115</v>
      </c>
      <c r="G64">
        <v>29</v>
      </c>
      <c r="H64" t="str">
        <f>IF(C64&lt;=_xlfn.XLOOKUP(B64,Products!A:A,Products!I:I),"REORDER REVIEW","Stock OK")</f>
        <v>Stock OK</v>
      </c>
    </row>
    <row r="65" spans="1:8">
      <c r="A65" s="2">
        <v>45748</v>
      </c>
      <c r="B65" t="s">
        <v>80</v>
      </c>
      <c r="C65">
        <v>236</v>
      </c>
      <c r="D65">
        <v>0</v>
      </c>
      <c r="E65">
        <v>169</v>
      </c>
      <c r="F65">
        <v>115</v>
      </c>
      <c r="G65">
        <v>29</v>
      </c>
      <c r="H65" t="str">
        <f>IF(C65&lt;=_xlfn.XLOOKUP(B65,Products!A:A,Products!I:I),"REORDER REVIEW","Stock OK")</f>
        <v>Stock OK</v>
      </c>
    </row>
    <row r="66" spans="1:8">
      <c r="A66" s="2">
        <v>45778</v>
      </c>
      <c r="B66" t="s">
        <v>80</v>
      </c>
      <c r="C66">
        <v>0</v>
      </c>
      <c r="D66">
        <v>100</v>
      </c>
      <c r="E66">
        <v>257</v>
      </c>
      <c r="F66">
        <v>115</v>
      </c>
      <c r="G66">
        <v>29</v>
      </c>
      <c r="H66" t="str">
        <f>IF(C66&lt;=_xlfn.XLOOKUP(B66,Products!A:A,Products!I:I),"REORDER REVIEW","Stock OK")</f>
        <v>REORDER REVIEW</v>
      </c>
    </row>
    <row r="67" spans="1:8">
      <c r="A67" s="2">
        <v>45809</v>
      </c>
      <c r="B67" t="s">
        <v>80</v>
      </c>
      <c r="C67">
        <v>0</v>
      </c>
      <c r="D67">
        <v>0</v>
      </c>
      <c r="E67">
        <v>419</v>
      </c>
      <c r="F67">
        <v>115</v>
      </c>
      <c r="G67">
        <v>29</v>
      </c>
      <c r="H67" t="str">
        <f>IF(C67&lt;=_xlfn.XLOOKUP(B67,Products!A:A,Products!I:I),"REORDER REVIEW","Stock OK")</f>
        <v>REORDER REVIEW</v>
      </c>
    </row>
    <row r="68" spans="1:8">
      <c r="A68" s="2">
        <v>45839</v>
      </c>
      <c r="B68" t="s">
        <v>80</v>
      </c>
      <c r="C68">
        <v>0</v>
      </c>
      <c r="D68">
        <v>200</v>
      </c>
      <c r="E68">
        <v>304</v>
      </c>
      <c r="F68">
        <v>115</v>
      </c>
      <c r="G68">
        <v>29</v>
      </c>
      <c r="H68" t="str">
        <f>IF(C68&lt;=_xlfn.XLOOKUP(B68,Products!A:A,Products!I:I),"REORDER REVIEW","Stock OK")</f>
        <v>REORDER REVIEW</v>
      </c>
    </row>
    <row r="69" spans="1:8">
      <c r="A69" s="2">
        <v>45870</v>
      </c>
      <c r="B69" t="s">
        <v>80</v>
      </c>
      <c r="C69">
        <v>0</v>
      </c>
      <c r="D69">
        <v>100</v>
      </c>
      <c r="E69">
        <v>198</v>
      </c>
      <c r="F69">
        <v>115</v>
      </c>
      <c r="G69">
        <v>29</v>
      </c>
      <c r="H69" t="str">
        <f>IF(C69&lt;=_xlfn.XLOOKUP(B69,Products!A:A,Products!I:I),"REORDER REVIEW","Stock OK")</f>
        <v>REORDER REVIEW</v>
      </c>
    </row>
    <row r="70" spans="1:8">
      <c r="A70" s="2">
        <v>45901</v>
      </c>
      <c r="B70" t="s">
        <v>80</v>
      </c>
      <c r="C70">
        <v>0</v>
      </c>
      <c r="D70">
        <v>0</v>
      </c>
      <c r="E70">
        <v>293</v>
      </c>
      <c r="F70">
        <v>115</v>
      </c>
      <c r="G70">
        <v>29</v>
      </c>
      <c r="H70" t="str">
        <f>IF(C70&lt;=_xlfn.XLOOKUP(B70,Products!A:A,Products!I:I),"REORDER REVIEW","Stock OK")</f>
        <v>REORDER REVIEW</v>
      </c>
    </row>
    <row r="71" spans="1:8">
      <c r="A71" s="2">
        <v>45931</v>
      </c>
      <c r="B71" t="s">
        <v>80</v>
      </c>
      <c r="C71">
        <v>1</v>
      </c>
      <c r="D71">
        <v>100</v>
      </c>
      <c r="E71">
        <v>199</v>
      </c>
      <c r="F71">
        <v>115</v>
      </c>
      <c r="G71">
        <v>29</v>
      </c>
      <c r="H71" t="str">
        <f>IF(C71&lt;=_xlfn.XLOOKUP(B71,Products!A:A,Products!I:I),"REORDER REVIEW","Stock OK")</f>
        <v>REORDER REVIEW</v>
      </c>
    </row>
    <row r="72" spans="1:8">
      <c r="A72" s="2">
        <v>45962</v>
      </c>
      <c r="B72" t="s">
        <v>80</v>
      </c>
      <c r="C72">
        <v>0</v>
      </c>
      <c r="D72">
        <v>0</v>
      </c>
      <c r="E72">
        <v>311</v>
      </c>
      <c r="F72">
        <v>115</v>
      </c>
      <c r="G72">
        <v>29</v>
      </c>
      <c r="H72" t="str">
        <f>IF(C72&lt;=_xlfn.XLOOKUP(B72,Products!A:A,Products!I:I),"REORDER REVIEW","Stock OK")</f>
        <v>REORDER REVIEW</v>
      </c>
    </row>
    <row r="73" spans="1:8">
      <c r="A73" s="2">
        <v>45992</v>
      </c>
      <c r="B73" t="s">
        <v>80</v>
      </c>
      <c r="C73">
        <v>0</v>
      </c>
      <c r="D73">
        <v>100</v>
      </c>
      <c r="E73">
        <v>358</v>
      </c>
      <c r="F73">
        <v>115</v>
      </c>
      <c r="G73">
        <v>29</v>
      </c>
      <c r="H73" t="str">
        <f>IF(C73&lt;=_xlfn.XLOOKUP(B73,Products!A:A,Products!I:I),"REORDER REVIEW","Stock OK")</f>
        <v>REORDER REVIEW</v>
      </c>
    </row>
    <row r="74" spans="1:8">
      <c r="A74" s="2">
        <v>45658</v>
      </c>
      <c r="B74" t="s">
        <v>82</v>
      </c>
      <c r="C74">
        <v>642</v>
      </c>
      <c r="D74">
        <v>50</v>
      </c>
      <c r="E74">
        <v>210</v>
      </c>
      <c r="F74">
        <v>260</v>
      </c>
      <c r="G74">
        <v>122</v>
      </c>
      <c r="H74" t="str">
        <f>IF(C74&lt;=_xlfn.XLOOKUP(B74,Products!A:A,Products!I:I),"REORDER REVIEW","Stock OK")</f>
        <v>Stock OK</v>
      </c>
    </row>
    <row r="75" spans="1:8">
      <c r="A75" s="2">
        <v>45689</v>
      </c>
      <c r="B75" t="s">
        <v>82</v>
      </c>
      <c r="C75">
        <v>448</v>
      </c>
      <c r="D75">
        <v>0</v>
      </c>
      <c r="E75">
        <v>294</v>
      </c>
      <c r="F75">
        <v>260</v>
      </c>
      <c r="G75">
        <v>122</v>
      </c>
      <c r="H75" t="str">
        <f>IF(C75&lt;=_xlfn.XLOOKUP(B75,Products!A:A,Products!I:I),"REORDER REVIEW","Stock OK")</f>
        <v>Stock OK</v>
      </c>
    </row>
    <row r="76" spans="1:8">
      <c r="A76" s="2">
        <v>45717</v>
      </c>
      <c r="B76" t="s">
        <v>82</v>
      </c>
      <c r="C76">
        <v>37</v>
      </c>
      <c r="D76">
        <v>0</v>
      </c>
      <c r="E76">
        <v>411</v>
      </c>
      <c r="F76">
        <v>260</v>
      </c>
      <c r="G76">
        <v>122</v>
      </c>
      <c r="H76" t="str">
        <f>IF(C76&lt;=_xlfn.XLOOKUP(B76,Products!A:A,Products!I:I),"REORDER REVIEW","Stock OK")</f>
        <v>REORDER REVIEW</v>
      </c>
    </row>
    <row r="77" spans="1:8">
      <c r="A77" s="2">
        <v>45748</v>
      </c>
      <c r="B77" t="s">
        <v>82</v>
      </c>
      <c r="C77">
        <v>0</v>
      </c>
      <c r="D77">
        <v>50</v>
      </c>
      <c r="E77">
        <v>271</v>
      </c>
      <c r="F77">
        <v>260</v>
      </c>
      <c r="G77">
        <v>122</v>
      </c>
      <c r="H77" t="str">
        <f>IF(C77&lt;=_xlfn.XLOOKUP(B77,Products!A:A,Products!I:I),"REORDER REVIEW","Stock OK")</f>
        <v>REORDER REVIEW</v>
      </c>
    </row>
    <row r="78" spans="1:8">
      <c r="A78" s="2">
        <v>45778</v>
      </c>
      <c r="B78" t="s">
        <v>82</v>
      </c>
      <c r="C78">
        <v>0</v>
      </c>
      <c r="D78">
        <v>200</v>
      </c>
      <c r="E78">
        <v>375</v>
      </c>
      <c r="F78">
        <v>260</v>
      </c>
      <c r="G78">
        <v>122</v>
      </c>
      <c r="H78" t="str">
        <f>IF(C78&lt;=_xlfn.XLOOKUP(B78,Products!A:A,Products!I:I),"REORDER REVIEW","Stock OK")</f>
        <v>REORDER REVIEW</v>
      </c>
    </row>
    <row r="79" spans="1:8">
      <c r="A79" s="2">
        <v>45809</v>
      </c>
      <c r="B79" t="s">
        <v>82</v>
      </c>
      <c r="C79">
        <v>0</v>
      </c>
      <c r="D79">
        <v>200</v>
      </c>
      <c r="E79">
        <v>418</v>
      </c>
      <c r="F79">
        <v>260</v>
      </c>
      <c r="G79">
        <v>122</v>
      </c>
      <c r="H79" t="str">
        <f>IF(C79&lt;=_xlfn.XLOOKUP(B79,Products!A:A,Products!I:I),"REORDER REVIEW","Stock OK")</f>
        <v>REORDER REVIEW</v>
      </c>
    </row>
    <row r="80" spans="1:8">
      <c r="A80" s="2">
        <v>45839</v>
      </c>
      <c r="B80" t="s">
        <v>82</v>
      </c>
      <c r="C80">
        <v>0</v>
      </c>
      <c r="D80">
        <v>0</v>
      </c>
      <c r="E80">
        <v>233</v>
      </c>
      <c r="F80">
        <v>260</v>
      </c>
      <c r="G80">
        <v>122</v>
      </c>
      <c r="H80" t="str">
        <f>IF(C80&lt;=_xlfn.XLOOKUP(B80,Products!A:A,Products!I:I),"REORDER REVIEW","Stock OK")</f>
        <v>REORDER REVIEW</v>
      </c>
    </row>
    <row r="81" spans="1:8">
      <c r="A81" s="2">
        <v>45870</v>
      </c>
      <c r="B81" t="s">
        <v>82</v>
      </c>
      <c r="C81">
        <v>0</v>
      </c>
      <c r="D81">
        <v>100</v>
      </c>
      <c r="E81">
        <v>262</v>
      </c>
      <c r="F81">
        <v>260</v>
      </c>
      <c r="G81">
        <v>122</v>
      </c>
      <c r="H81" t="str">
        <f>IF(C81&lt;=_xlfn.XLOOKUP(B81,Products!A:A,Products!I:I),"REORDER REVIEW","Stock OK")</f>
        <v>REORDER REVIEW</v>
      </c>
    </row>
    <row r="82" spans="1:8">
      <c r="A82" s="2">
        <v>45901</v>
      </c>
      <c r="B82" t="s">
        <v>82</v>
      </c>
      <c r="C82">
        <v>0</v>
      </c>
      <c r="D82">
        <v>100</v>
      </c>
      <c r="E82">
        <v>269</v>
      </c>
      <c r="F82">
        <v>260</v>
      </c>
      <c r="G82">
        <v>122</v>
      </c>
      <c r="H82" t="str">
        <f>IF(C82&lt;=_xlfn.XLOOKUP(B82,Products!A:A,Products!I:I),"REORDER REVIEW","Stock OK")</f>
        <v>REORDER REVIEW</v>
      </c>
    </row>
    <row r="83" spans="1:8">
      <c r="A83" s="2">
        <v>45931</v>
      </c>
      <c r="B83" t="s">
        <v>82</v>
      </c>
      <c r="C83">
        <v>0</v>
      </c>
      <c r="D83">
        <v>100</v>
      </c>
      <c r="E83">
        <v>477</v>
      </c>
      <c r="F83">
        <v>260</v>
      </c>
      <c r="G83">
        <v>122</v>
      </c>
      <c r="H83" t="str">
        <f>IF(C83&lt;=_xlfn.XLOOKUP(B83,Products!A:A,Products!I:I),"REORDER REVIEW","Stock OK")</f>
        <v>REORDER REVIEW</v>
      </c>
    </row>
    <row r="84" spans="1:8">
      <c r="A84" s="2">
        <v>45962</v>
      </c>
      <c r="B84" t="s">
        <v>82</v>
      </c>
      <c r="C84">
        <v>0</v>
      </c>
      <c r="D84">
        <v>0</v>
      </c>
      <c r="E84">
        <v>310</v>
      </c>
      <c r="F84">
        <v>260</v>
      </c>
      <c r="G84">
        <v>122</v>
      </c>
      <c r="H84" t="str">
        <f>IF(C84&lt;=_xlfn.XLOOKUP(B84,Products!A:A,Products!I:I),"REORDER REVIEW","Stock OK")</f>
        <v>REORDER REVIEW</v>
      </c>
    </row>
    <row r="85" spans="1:8">
      <c r="A85" s="2">
        <v>45992</v>
      </c>
      <c r="B85" t="s">
        <v>82</v>
      </c>
      <c r="C85">
        <v>0</v>
      </c>
      <c r="D85">
        <v>100</v>
      </c>
      <c r="E85">
        <v>272</v>
      </c>
      <c r="F85">
        <v>260</v>
      </c>
      <c r="G85">
        <v>122</v>
      </c>
      <c r="H85" t="str">
        <f>IF(C85&lt;=_xlfn.XLOOKUP(B85,Products!A:A,Products!I:I),"REORDER REVIEW","Stock OK")</f>
        <v>REORDER REVIEW</v>
      </c>
    </row>
    <row r="86" spans="1:8">
      <c r="A86" s="2">
        <v>45658</v>
      </c>
      <c r="B86" t="s">
        <v>84</v>
      </c>
      <c r="C86">
        <v>233</v>
      </c>
      <c r="D86">
        <v>0</v>
      </c>
      <c r="E86">
        <v>119</v>
      </c>
      <c r="F86">
        <v>146</v>
      </c>
      <c r="G86">
        <v>65</v>
      </c>
      <c r="H86" t="str">
        <f>IF(C86&lt;=_xlfn.XLOOKUP(B86,Products!A:A,Products!I:I),"REORDER REVIEW","Stock OK")</f>
        <v>Stock OK</v>
      </c>
    </row>
    <row r="87" spans="1:8">
      <c r="A87" s="2">
        <v>45689</v>
      </c>
      <c r="B87" t="s">
        <v>84</v>
      </c>
      <c r="C87">
        <v>314</v>
      </c>
      <c r="D87">
        <v>0</v>
      </c>
      <c r="E87">
        <v>219</v>
      </c>
      <c r="F87">
        <v>146</v>
      </c>
      <c r="G87">
        <v>65</v>
      </c>
      <c r="H87" t="str">
        <f>IF(C87&lt;=_xlfn.XLOOKUP(B87,Products!A:A,Products!I:I),"REORDER REVIEW","Stock OK")</f>
        <v>Stock OK</v>
      </c>
    </row>
    <row r="88" spans="1:8">
      <c r="A88" s="2">
        <v>45717</v>
      </c>
      <c r="B88" t="s">
        <v>84</v>
      </c>
      <c r="C88">
        <v>149</v>
      </c>
      <c r="D88">
        <v>50</v>
      </c>
      <c r="E88">
        <v>165</v>
      </c>
      <c r="F88">
        <v>146</v>
      </c>
      <c r="G88">
        <v>65</v>
      </c>
      <c r="H88" t="str">
        <f>IF(C88&lt;=_xlfn.XLOOKUP(B88,Products!A:A,Products!I:I),"REORDER REVIEW","Stock OK")</f>
        <v>Stock OK</v>
      </c>
    </row>
    <row r="89" spans="1:8">
      <c r="A89" s="2">
        <v>45748</v>
      </c>
      <c r="B89" t="s">
        <v>84</v>
      </c>
      <c r="C89">
        <v>325</v>
      </c>
      <c r="D89">
        <v>0</v>
      </c>
      <c r="E89">
        <v>124</v>
      </c>
      <c r="F89">
        <v>146</v>
      </c>
      <c r="G89">
        <v>65</v>
      </c>
      <c r="H89" t="str">
        <f>IF(C89&lt;=_xlfn.XLOOKUP(B89,Products!A:A,Products!I:I),"REORDER REVIEW","Stock OK")</f>
        <v>Stock OK</v>
      </c>
    </row>
    <row r="90" spans="1:8">
      <c r="A90" s="2">
        <v>45778</v>
      </c>
      <c r="B90" t="s">
        <v>84</v>
      </c>
      <c r="C90">
        <v>362</v>
      </c>
      <c r="D90">
        <v>50</v>
      </c>
      <c r="E90">
        <v>163</v>
      </c>
      <c r="F90">
        <v>146</v>
      </c>
      <c r="G90">
        <v>65</v>
      </c>
      <c r="H90" t="str">
        <f>IF(C90&lt;=_xlfn.XLOOKUP(B90,Products!A:A,Products!I:I),"REORDER REVIEW","Stock OK")</f>
        <v>Stock OK</v>
      </c>
    </row>
    <row r="91" spans="1:8">
      <c r="A91" s="2">
        <v>45809</v>
      </c>
      <c r="B91" t="s">
        <v>84</v>
      </c>
      <c r="C91">
        <v>162</v>
      </c>
      <c r="D91">
        <v>100</v>
      </c>
      <c r="E91">
        <v>200</v>
      </c>
      <c r="F91">
        <v>146</v>
      </c>
      <c r="G91">
        <v>65</v>
      </c>
      <c r="H91" t="str">
        <f>IF(C91&lt;=_xlfn.XLOOKUP(B91,Products!A:A,Products!I:I),"REORDER REVIEW","Stock OK")</f>
        <v>Stock OK</v>
      </c>
    </row>
    <row r="92" spans="1:8">
      <c r="A92" s="2">
        <v>45839</v>
      </c>
      <c r="B92" t="s">
        <v>84</v>
      </c>
      <c r="C92">
        <v>0</v>
      </c>
      <c r="D92">
        <v>100</v>
      </c>
      <c r="E92">
        <v>171</v>
      </c>
      <c r="F92">
        <v>146</v>
      </c>
      <c r="G92">
        <v>65</v>
      </c>
      <c r="H92" t="str">
        <f>IF(C92&lt;=_xlfn.XLOOKUP(B92,Products!A:A,Products!I:I),"REORDER REVIEW","Stock OK")</f>
        <v>REORDER REVIEW</v>
      </c>
    </row>
    <row r="93" spans="1:8">
      <c r="A93" s="2">
        <v>45870</v>
      </c>
      <c r="B93" t="s">
        <v>84</v>
      </c>
      <c r="C93">
        <v>0</v>
      </c>
      <c r="D93">
        <v>0</v>
      </c>
      <c r="E93">
        <v>151</v>
      </c>
      <c r="F93">
        <v>146</v>
      </c>
      <c r="G93">
        <v>65</v>
      </c>
      <c r="H93" t="str">
        <f>IF(C93&lt;=_xlfn.XLOOKUP(B93,Products!A:A,Products!I:I),"REORDER REVIEW","Stock OK")</f>
        <v>REORDER REVIEW</v>
      </c>
    </row>
    <row r="94" spans="1:8">
      <c r="A94" s="2">
        <v>45901</v>
      </c>
      <c r="B94" t="s">
        <v>84</v>
      </c>
      <c r="C94">
        <v>0</v>
      </c>
      <c r="D94">
        <v>200</v>
      </c>
      <c r="E94">
        <v>200</v>
      </c>
      <c r="F94">
        <v>146</v>
      </c>
      <c r="G94">
        <v>65</v>
      </c>
      <c r="H94" t="str">
        <f>IF(C94&lt;=_xlfn.XLOOKUP(B94,Products!A:A,Products!I:I),"REORDER REVIEW","Stock OK")</f>
        <v>REORDER REVIEW</v>
      </c>
    </row>
    <row r="95" spans="1:8">
      <c r="A95" s="2">
        <v>45931</v>
      </c>
      <c r="B95" t="s">
        <v>84</v>
      </c>
      <c r="C95">
        <v>0</v>
      </c>
      <c r="D95">
        <v>50</v>
      </c>
      <c r="E95">
        <v>178</v>
      </c>
      <c r="F95">
        <v>146</v>
      </c>
      <c r="G95">
        <v>65</v>
      </c>
      <c r="H95" t="str">
        <f>IF(C95&lt;=_xlfn.XLOOKUP(B95,Products!A:A,Products!I:I),"REORDER REVIEW","Stock OK")</f>
        <v>REORDER REVIEW</v>
      </c>
    </row>
    <row r="96" spans="1:8">
      <c r="A96" s="2">
        <v>45962</v>
      </c>
      <c r="B96" t="s">
        <v>84</v>
      </c>
      <c r="C96">
        <v>104</v>
      </c>
      <c r="D96">
        <v>200</v>
      </c>
      <c r="E96">
        <v>96</v>
      </c>
      <c r="F96">
        <v>146</v>
      </c>
      <c r="G96">
        <v>65</v>
      </c>
      <c r="H96" t="str">
        <f>IF(C96&lt;=_xlfn.XLOOKUP(B96,Products!A:A,Products!I:I),"REORDER REVIEW","Stock OK")</f>
        <v>REORDER REVIEW</v>
      </c>
    </row>
    <row r="97" spans="1:8">
      <c r="A97" s="2">
        <v>45992</v>
      </c>
      <c r="B97" t="s">
        <v>84</v>
      </c>
      <c r="C97">
        <v>0</v>
      </c>
      <c r="D97">
        <v>0</v>
      </c>
      <c r="E97">
        <v>105</v>
      </c>
      <c r="F97">
        <v>146</v>
      </c>
      <c r="G97">
        <v>65</v>
      </c>
      <c r="H97" t="str">
        <f>IF(C97&lt;=_xlfn.XLOOKUP(B97,Products!A:A,Products!I:I),"REORDER REVIEW","Stock OK")</f>
        <v>REORDER REVIEW</v>
      </c>
    </row>
    <row r="98" spans="1:8">
      <c r="A98" s="2">
        <v>45658</v>
      </c>
      <c r="B98" t="s">
        <v>86</v>
      </c>
      <c r="C98">
        <v>179</v>
      </c>
      <c r="D98">
        <v>100</v>
      </c>
      <c r="E98">
        <v>175</v>
      </c>
      <c r="F98">
        <v>447</v>
      </c>
      <c r="G98">
        <v>103</v>
      </c>
      <c r="H98" t="str">
        <f>IF(C98&lt;=_xlfn.XLOOKUP(B98,Products!A:A,Products!I:I),"REORDER REVIEW","Stock OK")</f>
        <v>REORDER REVIEW</v>
      </c>
    </row>
    <row r="99" spans="1:8">
      <c r="A99" s="2">
        <v>45689</v>
      </c>
      <c r="B99" t="s">
        <v>86</v>
      </c>
      <c r="C99">
        <v>0</v>
      </c>
      <c r="D99">
        <v>200</v>
      </c>
      <c r="E99">
        <v>537</v>
      </c>
      <c r="F99">
        <v>447</v>
      </c>
      <c r="G99">
        <v>103</v>
      </c>
      <c r="H99" t="str">
        <f>IF(C99&lt;=_xlfn.XLOOKUP(B99,Products!A:A,Products!I:I),"REORDER REVIEW","Stock OK")</f>
        <v>REORDER REVIEW</v>
      </c>
    </row>
    <row r="100" spans="1:8">
      <c r="A100" s="2">
        <v>45717</v>
      </c>
      <c r="B100" t="s">
        <v>86</v>
      </c>
      <c r="C100">
        <v>0</v>
      </c>
      <c r="D100">
        <v>0</v>
      </c>
      <c r="E100">
        <v>524</v>
      </c>
      <c r="F100">
        <v>447</v>
      </c>
      <c r="G100">
        <v>103</v>
      </c>
      <c r="H100" t="str">
        <f>IF(C100&lt;=_xlfn.XLOOKUP(B100,Products!A:A,Products!I:I),"REORDER REVIEW","Stock OK")</f>
        <v>REORDER REVIEW</v>
      </c>
    </row>
    <row r="101" spans="1:8">
      <c r="A101" s="2">
        <v>45748</v>
      </c>
      <c r="B101" t="s">
        <v>86</v>
      </c>
      <c r="C101">
        <v>0</v>
      </c>
      <c r="D101">
        <v>0</v>
      </c>
      <c r="E101">
        <v>507</v>
      </c>
      <c r="F101">
        <v>447</v>
      </c>
      <c r="G101">
        <v>103</v>
      </c>
      <c r="H101" t="str">
        <f>IF(C101&lt;=_xlfn.XLOOKUP(B101,Products!A:A,Products!I:I),"REORDER REVIEW","Stock OK")</f>
        <v>REORDER REVIEW</v>
      </c>
    </row>
    <row r="102" spans="1:8">
      <c r="A102" s="2">
        <v>45778</v>
      </c>
      <c r="B102" t="s">
        <v>86</v>
      </c>
      <c r="C102">
        <v>0</v>
      </c>
      <c r="D102">
        <v>50</v>
      </c>
      <c r="E102">
        <v>266</v>
      </c>
      <c r="F102">
        <v>447</v>
      </c>
      <c r="G102">
        <v>103</v>
      </c>
      <c r="H102" t="str">
        <f>IF(C102&lt;=_xlfn.XLOOKUP(B102,Products!A:A,Products!I:I),"REORDER REVIEW","Stock OK")</f>
        <v>REORDER REVIEW</v>
      </c>
    </row>
    <row r="103" spans="1:8">
      <c r="A103" s="2">
        <v>45809</v>
      </c>
      <c r="B103" t="s">
        <v>86</v>
      </c>
      <c r="C103">
        <v>0</v>
      </c>
      <c r="D103">
        <v>50</v>
      </c>
      <c r="E103">
        <v>617</v>
      </c>
      <c r="F103">
        <v>447</v>
      </c>
      <c r="G103">
        <v>103</v>
      </c>
      <c r="H103" t="str">
        <f>IF(C103&lt;=_xlfn.XLOOKUP(B103,Products!A:A,Products!I:I),"REORDER REVIEW","Stock OK")</f>
        <v>REORDER REVIEW</v>
      </c>
    </row>
    <row r="104" spans="1:8">
      <c r="A104" s="2">
        <v>45839</v>
      </c>
      <c r="B104" t="s">
        <v>86</v>
      </c>
      <c r="C104">
        <v>0</v>
      </c>
      <c r="D104">
        <v>100</v>
      </c>
      <c r="E104">
        <v>546</v>
      </c>
      <c r="F104">
        <v>447</v>
      </c>
      <c r="G104">
        <v>103</v>
      </c>
      <c r="H104" t="str">
        <f>IF(C104&lt;=_xlfn.XLOOKUP(B104,Products!A:A,Products!I:I),"REORDER REVIEW","Stock OK")</f>
        <v>REORDER REVIEW</v>
      </c>
    </row>
    <row r="105" spans="1:8">
      <c r="A105" s="2">
        <v>45870</v>
      </c>
      <c r="B105" t="s">
        <v>86</v>
      </c>
      <c r="C105">
        <v>0</v>
      </c>
      <c r="D105">
        <v>100</v>
      </c>
      <c r="E105">
        <v>521</v>
      </c>
      <c r="F105">
        <v>447</v>
      </c>
      <c r="G105">
        <v>103</v>
      </c>
      <c r="H105" t="str">
        <f>IF(C105&lt;=_xlfn.XLOOKUP(B105,Products!A:A,Products!I:I),"REORDER REVIEW","Stock OK")</f>
        <v>REORDER REVIEW</v>
      </c>
    </row>
    <row r="106" spans="1:8">
      <c r="A106" s="2">
        <v>45901</v>
      </c>
      <c r="B106" t="s">
        <v>86</v>
      </c>
      <c r="C106">
        <v>0</v>
      </c>
      <c r="D106">
        <v>0</v>
      </c>
      <c r="E106">
        <v>395</v>
      </c>
      <c r="F106">
        <v>447</v>
      </c>
      <c r="G106">
        <v>103</v>
      </c>
      <c r="H106" t="str">
        <f>IF(C106&lt;=_xlfn.XLOOKUP(B106,Products!A:A,Products!I:I),"REORDER REVIEW","Stock OK")</f>
        <v>REORDER REVIEW</v>
      </c>
    </row>
    <row r="107" spans="1:8">
      <c r="A107" s="2">
        <v>45931</v>
      </c>
      <c r="B107" t="s">
        <v>86</v>
      </c>
      <c r="C107">
        <v>0</v>
      </c>
      <c r="D107">
        <v>100</v>
      </c>
      <c r="E107">
        <v>493</v>
      </c>
      <c r="F107">
        <v>447</v>
      </c>
      <c r="G107">
        <v>103</v>
      </c>
      <c r="H107" t="str">
        <f>IF(C107&lt;=_xlfn.XLOOKUP(B107,Products!A:A,Products!I:I),"REORDER REVIEW","Stock OK")</f>
        <v>REORDER REVIEW</v>
      </c>
    </row>
    <row r="108" spans="1:8">
      <c r="A108" s="2">
        <v>45962</v>
      </c>
      <c r="B108" t="s">
        <v>86</v>
      </c>
      <c r="C108">
        <v>0</v>
      </c>
      <c r="D108">
        <v>0</v>
      </c>
      <c r="E108">
        <v>579</v>
      </c>
      <c r="F108">
        <v>447</v>
      </c>
      <c r="G108">
        <v>103</v>
      </c>
      <c r="H108" t="str">
        <f>IF(C108&lt;=_xlfn.XLOOKUP(B108,Products!A:A,Products!I:I),"REORDER REVIEW","Stock OK")</f>
        <v>REORDER REVIEW</v>
      </c>
    </row>
    <row r="109" spans="1:8">
      <c r="A109" s="2">
        <v>45992</v>
      </c>
      <c r="B109" t="s">
        <v>86</v>
      </c>
      <c r="C109">
        <v>0</v>
      </c>
      <c r="D109">
        <v>50</v>
      </c>
      <c r="E109">
        <v>507</v>
      </c>
      <c r="F109">
        <v>447</v>
      </c>
      <c r="G109">
        <v>103</v>
      </c>
      <c r="H109" t="str">
        <f>IF(C109&lt;=_xlfn.XLOOKUP(B109,Products!A:A,Products!I:I),"REORDER REVIEW","Stock OK")</f>
        <v>REORDER REVIEW</v>
      </c>
    </row>
    <row r="110" spans="1:8">
      <c r="A110" s="2">
        <v>45658</v>
      </c>
      <c r="B110" t="s">
        <v>88</v>
      </c>
      <c r="C110">
        <v>0</v>
      </c>
      <c r="D110">
        <v>0</v>
      </c>
      <c r="E110">
        <v>599</v>
      </c>
      <c r="F110">
        <v>766</v>
      </c>
      <c r="G110">
        <v>144</v>
      </c>
      <c r="H110" t="str">
        <f>IF(C110&lt;=_xlfn.XLOOKUP(B110,Products!A:A,Products!I:I),"REORDER REVIEW","Stock OK")</f>
        <v>REORDER REVIEW</v>
      </c>
    </row>
    <row r="111" spans="1:8">
      <c r="A111" s="2">
        <v>45689</v>
      </c>
      <c r="B111" t="s">
        <v>88</v>
      </c>
      <c r="C111">
        <v>0</v>
      </c>
      <c r="D111">
        <v>50</v>
      </c>
      <c r="E111">
        <v>611</v>
      </c>
      <c r="F111">
        <v>766</v>
      </c>
      <c r="G111">
        <v>144</v>
      </c>
      <c r="H111" t="str">
        <f>IF(C111&lt;=_xlfn.XLOOKUP(B111,Products!A:A,Products!I:I),"REORDER REVIEW","Stock OK")</f>
        <v>REORDER REVIEW</v>
      </c>
    </row>
    <row r="112" spans="1:8">
      <c r="A112" s="2">
        <v>45717</v>
      </c>
      <c r="B112" t="s">
        <v>88</v>
      </c>
      <c r="C112">
        <v>0</v>
      </c>
      <c r="D112">
        <v>100</v>
      </c>
      <c r="E112">
        <v>450</v>
      </c>
      <c r="F112">
        <v>766</v>
      </c>
      <c r="G112">
        <v>144</v>
      </c>
      <c r="H112" t="str">
        <f>IF(C112&lt;=_xlfn.XLOOKUP(B112,Products!A:A,Products!I:I),"REORDER REVIEW","Stock OK")</f>
        <v>REORDER REVIEW</v>
      </c>
    </row>
    <row r="113" spans="1:8">
      <c r="A113" s="2">
        <v>45748</v>
      </c>
      <c r="B113" t="s">
        <v>88</v>
      </c>
      <c r="C113">
        <v>0</v>
      </c>
      <c r="D113">
        <v>50</v>
      </c>
      <c r="E113">
        <v>726</v>
      </c>
      <c r="F113">
        <v>766</v>
      </c>
      <c r="G113">
        <v>144</v>
      </c>
      <c r="H113" t="str">
        <f>IF(C113&lt;=_xlfn.XLOOKUP(B113,Products!A:A,Products!I:I),"REORDER REVIEW","Stock OK")</f>
        <v>REORDER REVIEW</v>
      </c>
    </row>
    <row r="114" spans="1:8">
      <c r="A114" s="2">
        <v>45778</v>
      </c>
      <c r="B114" t="s">
        <v>88</v>
      </c>
      <c r="C114">
        <v>0</v>
      </c>
      <c r="D114">
        <v>100</v>
      </c>
      <c r="E114">
        <v>511</v>
      </c>
      <c r="F114">
        <v>766</v>
      </c>
      <c r="G114">
        <v>144</v>
      </c>
      <c r="H114" t="str">
        <f>IF(C114&lt;=_xlfn.XLOOKUP(B114,Products!A:A,Products!I:I),"REORDER REVIEW","Stock OK")</f>
        <v>REORDER REVIEW</v>
      </c>
    </row>
    <row r="115" spans="1:8">
      <c r="A115" s="2">
        <v>45809</v>
      </c>
      <c r="B115" t="s">
        <v>88</v>
      </c>
      <c r="C115">
        <v>0</v>
      </c>
      <c r="D115">
        <v>0</v>
      </c>
      <c r="E115">
        <v>421</v>
      </c>
      <c r="F115">
        <v>766</v>
      </c>
      <c r="G115">
        <v>144</v>
      </c>
      <c r="H115" t="str">
        <f>IF(C115&lt;=_xlfn.XLOOKUP(B115,Products!A:A,Products!I:I),"REORDER REVIEW","Stock OK")</f>
        <v>REORDER REVIEW</v>
      </c>
    </row>
    <row r="116" spans="1:8">
      <c r="A116" s="2">
        <v>45839</v>
      </c>
      <c r="B116" t="s">
        <v>88</v>
      </c>
      <c r="C116">
        <v>0</v>
      </c>
      <c r="D116">
        <v>200</v>
      </c>
      <c r="E116">
        <v>902</v>
      </c>
      <c r="F116">
        <v>766</v>
      </c>
      <c r="G116">
        <v>144</v>
      </c>
      <c r="H116" t="str">
        <f>IF(C116&lt;=_xlfn.XLOOKUP(B116,Products!A:A,Products!I:I),"REORDER REVIEW","Stock OK")</f>
        <v>REORDER REVIEW</v>
      </c>
    </row>
    <row r="117" spans="1:8">
      <c r="A117" s="2">
        <v>45870</v>
      </c>
      <c r="B117" t="s">
        <v>88</v>
      </c>
      <c r="C117">
        <v>0</v>
      </c>
      <c r="D117">
        <v>100</v>
      </c>
      <c r="E117">
        <v>902</v>
      </c>
      <c r="F117">
        <v>766</v>
      </c>
      <c r="G117">
        <v>144</v>
      </c>
      <c r="H117" t="str">
        <f>IF(C117&lt;=_xlfn.XLOOKUP(B117,Products!A:A,Products!I:I),"REORDER REVIEW","Stock OK")</f>
        <v>REORDER REVIEW</v>
      </c>
    </row>
    <row r="118" spans="1:8">
      <c r="A118" s="2">
        <v>45901</v>
      </c>
      <c r="B118" t="s">
        <v>88</v>
      </c>
      <c r="C118">
        <v>0</v>
      </c>
      <c r="D118">
        <v>200</v>
      </c>
      <c r="E118">
        <v>333</v>
      </c>
      <c r="F118">
        <v>766</v>
      </c>
      <c r="G118">
        <v>144</v>
      </c>
      <c r="H118" t="str">
        <f>IF(C118&lt;=_xlfn.XLOOKUP(B118,Products!A:A,Products!I:I),"REORDER REVIEW","Stock OK")</f>
        <v>REORDER REVIEW</v>
      </c>
    </row>
    <row r="119" spans="1:8">
      <c r="A119" s="2">
        <v>45931</v>
      </c>
      <c r="B119" t="s">
        <v>88</v>
      </c>
      <c r="C119">
        <v>0</v>
      </c>
      <c r="D119">
        <v>200</v>
      </c>
      <c r="E119">
        <v>530</v>
      </c>
      <c r="F119">
        <v>766</v>
      </c>
      <c r="G119">
        <v>144</v>
      </c>
      <c r="H119" t="str">
        <f>IF(C119&lt;=_xlfn.XLOOKUP(B119,Products!A:A,Products!I:I),"REORDER REVIEW","Stock OK")</f>
        <v>REORDER REVIEW</v>
      </c>
    </row>
    <row r="120" spans="1:8">
      <c r="A120" s="2">
        <v>45962</v>
      </c>
      <c r="B120" t="s">
        <v>88</v>
      </c>
      <c r="C120">
        <v>0</v>
      </c>
      <c r="D120">
        <v>0</v>
      </c>
      <c r="E120">
        <v>697</v>
      </c>
      <c r="F120">
        <v>766</v>
      </c>
      <c r="G120">
        <v>144</v>
      </c>
      <c r="H120" t="str">
        <f>IF(C120&lt;=_xlfn.XLOOKUP(B120,Products!A:A,Products!I:I),"REORDER REVIEW","Stock OK")</f>
        <v>REORDER REVIEW</v>
      </c>
    </row>
    <row r="121" spans="1:8">
      <c r="A121" s="2">
        <v>45992</v>
      </c>
      <c r="B121" t="s">
        <v>88</v>
      </c>
      <c r="C121">
        <v>0</v>
      </c>
      <c r="D121">
        <v>0</v>
      </c>
      <c r="E121">
        <v>759</v>
      </c>
      <c r="F121">
        <v>766</v>
      </c>
      <c r="G121">
        <v>144</v>
      </c>
      <c r="H121" t="str">
        <f>IF(C121&lt;=_xlfn.XLOOKUP(B121,Products!A:A,Products!I:I),"REORDER REVIEW","Stock OK")</f>
        <v>REORDER REVIEW</v>
      </c>
    </row>
    <row r="122" spans="1:8">
      <c r="A122" s="2">
        <v>45658</v>
      </c>
      <c r="B122" t="s">
        <v>90</v>
      </c>
      <c r="C122">
        <v>506</v>
      </c>
      <c r="D122">
        <v>200</v>
      </c>
      <c r="E122">
        <v>95</v>
      </c>
      <c r="F122">
        <v>147</v>
      </c>
      <c r="G122">
        <v>95</v>
      </c>
      <c r="H122" t="str">
        <f>IF(C122&lt;=_xlfn.XLOOKUP(B122,Products!A:A,Products!I:I),"REORDER REVIEW","Stock OK")</f>
        <v>Stock OK</v>
      </c>
    </row>
    <row r="123" spans="1:8">
      <c r="A123" s="2">
        <v>45689</v>
      </c>
      <c r="B123" t="s">
        <v>90</v>
      </c>
      <c r="C123">
        <v>495</v>
      </c>
      <c r="D123">
        <v>200</v>
      </c>
      <c r="E123">
        <v>111</v>
      </c>
      <c r="F123">
        <v>147</v>
      </c>
      <c r="G123">
        <v>95</v>
      </c>
      <c r="H123" t="str">
        <f>IF(C123&lt;=_xlfn.XLOOKUP(B123,Products!A:A,Products!I:I),"REORDER REVIEW","Stock OK")</f>
        <v>Stock OK</v>
      </c>
    </row>
    <row r="124" spans="1:8">
      <c r="A124" s="2">
        <v>45717</v>
      </c>
      <c r="B124" t="s">
        <v>90</v>
      </c>
      <c r="C124">
        <v>696</v>
      </c>
      <c r="D124">
        <v>0</v>
      </c>
      <c r="E124">
        <v>99</v>
      </c>
      <c r="F124">
        <v>147</v>
      </c>
      <c r="G124">
        <v>95</v>
      </c>
      <c r="H124" t="str">
        <f>IF(C124&lt;=_xlfn.XLOOKUP(B124,Products!A:A,Products!I:I),"REORDER REVIEW","Stock OK")</f>
        <v>Stock OK</v>
      </c>
    </row>
    <row r="125" spans="1:8">
      <c r="A125" s="2">
        <v>45748</v>
      </c>
      <c r="B125" t="s">
        <v>90</v>
      </c>
      <c r="C125">
        <v>662</v>
      </c>
      <c r="D125">
        <v>50</v>
      </c>
      <c r="E125">
        <v>134</v>
      </c>
      <c r="F125">
        <v>147</v>
      </c>
      <c r="G125">
        <v>95</v>
      </c>
      <c r="H125" t="str">
        <f>IF(C125&lt;=_xlfn.XLOOKUP(B125,Products!A:A,Products!I:I),"REORDER REVIEW","Stock OK")</f>
        <v>Stock OK</v>
      </c>
    </row>
    <row r="126" spans="1:8">
      <c r="A126" s="2">
        <v>45778</v>
      </c>
      <c r="B126" t="s">
        <v>90</v>
      </c>
      <c r="C126">
        <v>637</v>
      </c>
      <c r="D126">
        <v>0</v>
      </c>
      <c r="E126">
        <v>25</v>
      </c>
      <c r="F126">
        <v>147</v>
      </c>
      <c r="G126">
        <v>95</v>
      </c>
      <c r="H126" t="str">
        <f>IF(C126&lt;=_xlfn.XLOOKUP(B126,Products!A:A,Products!I:I),"REORDER REVIEW","Stock OK")</f>
        <v>Stock OK</v>
      </c>
    </row>
    <row r="127" spans="1:8">
      <c r="A127" s="2">
        <v>45809</v>
      </c>
      <c r="B127" t="s">
        <v>90</v>
      </c>
      <c r="C127">
        <v>825</v>
      </c>
      <c r="D127">
        <v>0</v>
      </c>
      <c r="E127">
        <v>112</v>
      </c>
      <c r="F127">
        <v>147</v>
      </c>
      <c r="G127">
        <v>95</v>
      </c>
      <c r="H127" t="str">
        <f>IF(C127&lt;=_xlfn.XLOOKUP(B127,Products!A:A,Products!I:I),"REORDER REVIEW","Stock OK")</f>
        <v>Stock OK</v>
      </c>
    </row>
    <row r="128" spans="1:8">
      <c r="A128" s="2">
        <v>45839</v>
      </c>
      <c r="B128" t="s">
        <v>90</v>
      </c>
      <c r="C128">
        <v>718</v>
      </c>
      <c r="D128">
        <v>50</v>
      </c>
      <c r="E128">
        <v>107</v>
      </c>
      <c r="F128">
        <v>147</v>
      </c>
      <c r="G128">
        <v>95</v>
      </c>
      <c r="H128" t="str">
        <f>IF(C128&lt;=_xlfn.XLOOKUP(B128,Products!A:A,Products!I:I),"REORDER REVIEW","Stock OK")</f>
        <v>Stock OK</v>
      </c>
    </row>
    <row r="129" spans="1:8">
      <c r="A129" s="2">
        <v>45870</v>
      </c>
      <c r="B129" t="s">
        <v>90</v>
      </c>
      <c r="C129">
        <v>955</v>
      </c>
      <c r="D129">
        <v>0</v>
      </c>
      <c r="E129">
        <v>63</v>
      </c>
      <c r="F129">
        <v>147</v>
      </c>
      <c r="G129">
        <v>95</v>
      </c>
      <c r="H129" t="str">
        <f>IF(C129&lt;=_xlfn.XLOOKUP(B129,Products!A:A,Products!I:I),"REORDER REVIEW","Stock OK")</f>
        <v>Stock OK</v>
      </c>
    </row>
    <row r="130" spans="1:8">
      <c r="A130" s="2">
        <v>45901</v>
      </c>
      <c r="B130" t="s">
        <v>90</v>
      </c>
      <c r="C130">
        <v>1026</v>
      </c>
      <c r="D130">
        <v>0</v>
      </c>
      <c r="E130">
        <v>129</v>
      </c>
      <c r="F130">
        <v>147</v>
      </c>
      <c r="G130">
        <v>95</v>
      </c>
      <c r="H130" t="str">
        <f>IF(C130&lt;=_xlfn.XLOOKUP(B130,Products!A:A,Products!I:I),"REORDER REVIEW","Stock OK")</f>
        <v>Stock OK</v>
      </c>
    </row>
    <row r="131" spans="1:8">
      <c r="A131" s="2">
        <v>45931</v>
      </c>
      <c r="B131" t="s">
        <v>90</v>
      </c>
      <c r="C131">
        <v>1211</v>
      </c>
      <c r="D131">
        <v>100</v>
      </c>
      <c r="E131">
        <v>115</v>
      </c>
      <c r="F131">
        <v>147</v>
      </c>
      <c r="G131">
        <v>95</v>
      </c>
      <c r="H131" t="str">
        <f>IF(C131&lt;=_xlfn.XLOOKUP(B131,Products!A:A,Products!I:I),"REORDER REVIEW","Stock OK")</f>
        <v>Stock OK</v>
      </c>
    </row>
    <row r="132" spans="1:8">
      <c r="A132" s="2">
        <v>45962</v>
      </c>
      <c r="B132" t="s">
        <v>90</v>
      </c>
      <c r="C132">
        <v>1072</v>
      </c>
      <c r="D132">
        <v>50</v>
      </c>
      <c r="E132">
        <v>139</v>
      </c>
      <c r="F132">
        <v>147</v>
      </c>
      <c r="G132">
        <v>95</v>
      </c>
      <c r="H132" t="str">
        <f>IF(C132&lt;=_xlfn.XLOOKUP(B132,Products!A:A,Products!I:I),"REORDER REVIEW","Stock OK")</f>
        <v>Stock OK</v>
      </c>
    </row>
    <row r="133" spans="1:8">
      <c r="A133" s="2">
        <v>45992</v>
      </c>
      <c r="B133" t="s">
        <v>90</v>
      </c>
      <c r="C133">
        <v>1102</v>
      </c>
      <c r="D133">
        <v>0</v>
      </c>
      <c r="E133">
        <v>70</v>
      </c>
      <c r="F133">
        <v>147</v>
      </c>
      <c r="G133">
        <v>95</v>
      </c>
      <c r="H133" t="str">
        <f>IF(C133&lt;=_xlfn.XLOOKUP(B133,Products!A:A,Products!I:I),"REORDER REVIEW","Stock OK")</f>
        <v>Stock OK</v>
      </c>
    </row>
    <row r="134" spans="1:8">
      <c r="A134" s="2">
        <v>45658</v>
      </c>
      <c r="B134" t="s">
        <v>92</v>
      </c>
      <c r="C134">
        <v>0</v>
      </c>
      <c r="D134">
        <v>100</v>
      </c>
      <c r="E134">
        <v>277</v>
      </c>
      <c r="F134">
        <v>118</v>
      </c>
      <c r="G134">
        <v>18</v>
      </c>
      <c r="H134" t="str">
        <f>IF(C134&lt;=_xlfn.XLOOKUP(B134,Products!A:A,Products!I:I),"REORDER REVIEW","Stock OK")</f>
        <v>REORDER REVIEW</v>
      </c>
    </row>
    <row r="135" spans="1:8">
      <c r="A135" s="2">
        <v>45689</v>
      </c>
      <c r="B135" t="s">
        <v>92</v>
      </c>
      <c r="C135">
        <v>0</v>
      </c>
      <c r="D135">
        <v>100</v>
      </c>
      <c r="E135">
        <v>306</v>
      </c>
      <c r="F135">
        <v>118</v>
      </c>
      <c r="G135">
        <v>18</v>
      </c>
      <c r="H135" t="str">
        <f>IF(C135&lt;=_xlfn.XLOOKUP(B135,Products!A:A,Products!I:I),"REORDER REVIEW","Stock OK")</f>
        <v>REORDER REVIEW</v>
      </c>
    </row>
    <row r="136" spans="1:8">
      <c r="A136" s="2">
        <v>45717</v>
      </c>
      <c r="B136" t="s">
        <v>92</v>
      </c>
      <c r="C136">
        <v>0</v>
      </c>
      <c r="D136">
        <v>0</v>
      </c>
      <c r="E136">
        <v>191</v>
      </c>
      <c r="F136">
        <v>118</v>
      </c>
      <c r="G136">
        <v>18</v>
      </c>
      <c r="H136" t="str">
        <f>IF(C136&lt;=_xlfn.XLOOKUP(B136,Products!A:A,Products!I:I),"REORDER REVIEW","Stock OK")</f>
        <v>REORDER REVIEW</v>
      </c>
    </row>
    <row r="137" spans="1:8">
      <c r="A137" s="2">
        <v>45748</v>
      </c>
      <c r="B137" t="s">
        <v>92</v>
      </c>
      <c r="C137">
        <v>0</v>
      </c>
      <c r="D137">
        <v>200</v>
      </c>
      <c r="E137">
        <v>361</v>
      </c>
      <c r="F137">
        <v>118</v>
      </c>
      <c r="G137">
        <v>18</v>
      </c>
      <c r="H137" t="str">
        <f>IF(C137&lt;=_xlfn.XLOOKUP(B137,Products!A:A,Products!I:I),"REORDER REVIEW","Stock OK")</f>
        <v>REORDER REVIEW</v>
      </c>
    </row>
    <row r="138" spans="1:8">
      <c r="A138" s="2">
        <v>45778</v>
      </c>
      <c r="B138" t="s">
        <v>92</v>
      </c>
      <c r="C138">
        <v>0</v>
      </c>
      <c r="D138">
        <v>200</v>
      </c>
      <c r="E138">
        <v>254</v>
      </c>
      <c r="F138">
        <v>118</v>
      </c>
      <c r="G138">
        <v>18</v>
      </c>
      <c r="H138" t="str">
        <f>IF(C138&lt;=_xlfn.XLOOKUP(B138,Products!A:A,Products!I:I),"REORDER REVIEW","Stock OK")</f>
        <v>REORDER REVIEW</v>
      </c>
    </row>
    <row r="139" spans="1:8">
      <c r="A139" s="2">
        <v>45809</v>
      </c>
      <c r="B139" t="s">
        <v>92</v>
      </c>
      <c r="C139">
        <v>28</v>
      </c>
      <c r="D139">
        <v>0</v>
      </c>
      <c r="E139">
        <v>172</v>
      </c>
      <c r="F139">
        <v>118</v>
      </c>
      <c r="G139">
        <v>18</v>
      </c>
      <c r="H139" t="str">
        <f>IF(C139&lt;=_xlfn.XLOOKUP(B139,Products!A:A,Products!I:I),"REORDER REVIEW","Stock OK")</f>
        <v>REORDER REVIEW</v>
      </c>
    </row>
    <row r="140" spans="1:8">
      <c r="A140" s="2">
        <v>45839</v>
      </c>
      <c r="B140" t="s">
        <v>92</v>
      </c>
      <c r="C140">
        <v>0</v>
      </c>
      <c r="D140">
        <v>50</v>
      </c>
      <c r="E140">
        <v>627</v>
      </c>
      <c r="F140">
        <v>118</v>
      </c>
      <c r="G140">
        <v>18</v>
      </c>
      <c r="H140" t="str">
        <f>IF(C140&lt;=_xlfn.XLOOKUP(B140,Products!A:A,Products!I:I),"REORDER REVIEW","Stock OK")</f>
        <v>REORDER REVIEW</v>
      </c>
    </row>
    <row r="141" spans="1:8">
      <c r="A141" s="2">
        <v>45870</v>
      </c>
      <c r="B141" t="s">
        <v>92</v>
      </c>
      <c r="C141">
        <v>0</v>
      </c>
      <c r="D141">
        <v>100</v>
      </c>
      <c r="E141">
        <v>171</v>
      </c>
      <c r="F141">
        <v>118</v>
      </c>
      <c r="G141">
        <v>18</v>
      </c>
      <c r="H141" t="str">
        <f>IF(C141&lt;=_xlfn.XLOOKUP(B141,Products!A:A,Products!I:I),"REORDER REVIEW","Stock OK")</f>
        <v>REORDER REVIEW</v>
      </c>
    </row>
    <row r="142" spans="1:8">
      <c r="A142" s="2">
        <v>45901</v>
      </c>
      <c r="B142" t="s">
        <v>92</v>
      </c>
      <c r="C142">
        <v>0</v>
      </c>
      <c r="D142">
        <v>50</v>
      </c>
      <c r="E142">
        <v>328</v>
      </c>
      <c r="F142">
        <v>118</v>
      </c>
      <c r="G142">
        <v>18</v>
      </c>
      <c r="H142" t="str">
        <f>IF(C142&lt;=_xlfn.XLOOKUP(B142,Products!A:A,Products!I:I),"REORDER REVIEW","Stock OK")</f>
        <v>REORDER REVIEW</v>
      </c>
    </row>
    <row r="143" spans="1:8">
      <c r="A143" s="2">
        <v>45931</v>
      </c>
      <c r="B143" t="s">
        <v>92</v>
      </c>
      <c r="C143">
        <v>0</v>
      </c>
      <c r="D143">
        <v>0</v>
      </c>
      <c r="E143">
        <v>319</v>
      </c>
      <c r="F143">
        <v>118</v>
      </c>
      <c r="G143">
        <v>18</v>
      </c>
      <c r="H143" t="str">
        <f>IF(C143&lt;=_xlfn.XLOOKUP(B143,Products!A:A,Products!I:I),"REORDER REVIEW","Stock OK")</f>
        <v>REORDER REVIEW</v>
      </c>
    </row>
    <row r="144" spans="1:8">
      <c r="A144" s="2">
        <v>45962</v>
      </c>
      <c r="B144" t="s">
        <v>92</v>
      </c>
      <c r="C144">
        <v>0</v>
      </c>
      <c r="D144">
        <v>200</v>
      </c>
      <c r="E144">
        <v>243</v>
      </c>
      <c r="F144">
        <v>118</v>
      </c>
      <c r="G144">
        <v>18</v>
      </c>
      <c r="H144" t="str">
        <f>IF(C144&lt;=_xlfn.XLOOKUP(B144,Products!A:A,Products!I:I),"REORDER REVIEW","Stock OK")</f>
        <v>REORDER REVIEW</v>
      </c>
    </row>
    <row r="145" spans="1:8">
      <c r="A145" s="2">
        <v>45992</v>
      </c>
      <c r="B145" t="s">
        <v>92</v>
      </c>
      <c r="C145">
        <v>0</v>
      </c>
      <c r="D145">
        <v>0</v>
      </c>
      <c r="E145">
        <v>378</v>
      </c>
      <c r="F145">
        <v>118</v>
      </c>
      <c r="G145">
        <v>18</v>
      </c>
      <c r="H145" t="str">
        <f>IF(C145&lt;=_xlfn.XLOOKUP(B145,Products!A:A,Products!I:I),"REORDER REVIEW","Stock OK")</f>
        <v>REORDER REVIEW</v>
      </c>
    </row>
    <row r="146" spans="1:8">
      <c r="A146" s="2">
        <v>45658</v>
      </c>
      <c r="B146" t="s">
        <v>94</v>
      </c>
      <c r="C146">
        <v>0</v>
      </c>
      <c r="D146">
        <v>0</v>
      </c>
      <c r="E146">
        <v>472</v>
      </c>
      <c r="F146">
        <v>605</v>
      </c>
      <c r="G146">
        <v>176</v>
      </c>
      <c r="H146" t="str">
        <f>IF(C146&lt;=_xlfn.XLOOKUP(B146,Products!A:A,Products!I:I),"REORDER REVIEW","Stock OK")</f>
        <v>REORDER REVIEW</v>
      </c>
    </row>
    <row r="147" spans="1:8">
      <c r="A147" s="2">
        <v>45689</v>
      </c>
      <c r="B147" t="s">
        <v>94</v>
      </c>
      <c r="C147">
        <v>0</v>
      </c>
      <c r="D147">
        <v>0</v>
      </c>
      <c r="E147">
        <v>762</v>
      </c>
      <c r="F147">
        <v>605</v>
      </c>
      <c r="G147">
        <v>176</v>
      </c>
      <c r="H147" t="str">
        <f>IF(C147&lt;=_xlfn.XLOOKUP(B147,Products!A:A,Products!I:I),"REORDER REVIEW","Stock OK")</f>
        <v>REORDER REVIEW</v>
      </c>
    </row>
    <row r="148" spans="1:8">
      <c r="A148" s="2">
        <v>45717</v>
      </c>
      <c r="B148" t="s">
        <v>94</v>
      </c>
      <c r="C148">
        <v>0</v>
      </c>
      <c r="D148">
        <v>200</v>
      </c>
      <c r="E148">
        <v>419</v>
      </c>
      <c r="F148">
        <v>605</v>
      </c>
      <c r="G148">
        <v>176</v>
      </c>
      <c r="H148" t="str">
        <f>IF(C148&lt;=_xlfn.XLOOKUP(B148,Products!A:A,Products!I:I),"REORDER REVIEW","Stock OK")</f>
        <v>REORDER REVIEW</v>
      </c>
    </row>
    <row r="149" spans="1:8">
      <c r="A149" s="2">
        <v>45748</v>
      </c>
      <c r="B149" t="s">
        <v>94</v>
      </c>
      <c r="C149">
        <v>0</v>
      </c>
      <c r="D149">
        <v>50</v>
      </c>
      <c r="E149">
        <v>755</v>
      </c>
      <c r="F149">
        <v>605</v>
      </c>
      <c r="G149">
        <v>176</v>
      </c>
      <c r="H149" t="str">
        <f>IF(C149&lt;=_xlfn.XLOOKUP(B149,Products!A:A,Products!I:I),"REORDER REVIEW","Stock OK")</f>
        <v>REORDER REVIEW</v>
      </c>
    </row>
    <row r="150" spans="1:8">
      <c r="A150" s="2">
        <v>45778</v>
      </c>
      <c r="B150" t="s">
        <v>94</v>
      </c>
      <c r="C150">
        <v>0</v>
      </c>
      <c r="D150">
        <v>50</v>
      </c>
      <c r="E150">
        <v>281</v>
      </c>
      <c r="F150">
        <v>605</v>
      </c>
      <c r="G150">
        <v>176</v>
      </c>
      <c r="H150" t="str">
        <f>IF(C150&lt;=_xlfn.XLOOKUP(B150,Products!A:A,Products!I:I),"REORDER REVIEW","Stock OK")</f>
        <v>REORDER REVIEW</v>
      </c>
    </row>
    <row r="151" spans="1:8">
      <c r="A151" s="2">
        <v>45809</v>
      </c>
      <c r="B151" t="s">
        <v>94</v>
      </c>
      <c r="C151">
        <v>0</v>
      </c>
      <c r="D151">
        <v>100</v>
      </c>
      <c r="E151">
        <v>480</v>
      </c>
      <c r="F151">
        <v>605</v>
      </c>
      <c r="G151">
        <v>176</v>
      </c>
      <c r="H151" t="str">
        <f>IF(C151&lt;=_xlfn.XLOOKUP(B151,Products!A:A,Products!I:I),"REORDER REVIEW","Stock OK")</f>
        <v>REORDER REVIEW</v>
      </c>
    </row>
    <row r="152" spans="1:8">
      <c r="A152" s="2">
        <v>45839</v>
      </c>
      <c r="B152" t="s">
        <v>94</v>
      </c>
      <c r="C152">
        <v>0</v>
      </c>
      <c r="D152">
        <v>200</v>
      </c>
      <c r="E152">
        <v>787</v>
      </c>
      <c r="F152">
        <v>605</v>
      </c>
      <c r="G152">
        <v>176</v>
      </c>
      <c r="H152" t="str">
        <f>IF(C152&lt;=_xlfn.XLOOKUP(B152,Products!A:A,Products!I:I),"REORDER REVIEW","Stock OK")</f>
        <v>REORDER REVIEW</v>
      </c>
    </row>
    <row r="153" spans="1:8">
      <c r="A153" s="2">
        <v>45870</v>
      </c>
      <c r="B153" t="s">
        <v>94</v>
      </c>
      <c r="C153">
        <v>0</v>
      </c>
      <c r="D153">
        <v>100</v>
      </c>
      <c r="E153">
        <v>594</v>
      </c>
      <c r="F153">
        <v>605</v>
      </c>
      <c r="G153">
        <v>176</v>
      </c>
      <c r="H153" t="str">
        <f>IF(C153&lt;=_xlfn.XLOOKUP(B153,Products!A:A,Products!I:I),"REORDER REVIEW","Stock OK")</f>
        <v>REORDER REVIEW</v>
      </c>
    </row>
    <row r="154" spans="1:8">
      <c r="A154" s="2">
        <v>45901</v>
      </c>
      <c r="B154" t="s">
        <v>94</v>
      </c>
      <c r="C154">
        <v>0</v>
      </c>
      <c r="D154">
        <v>50</v>
      </c>
      <c r="E154">
        <v>357</v>
      </c>
      <c r="F154">
        <v>605</v>
      </c>
      <c r="G154">
        <v>176</v>
      </c>
      <c r="H154" t="str">
        <f>IF(C154&lt;=_xlfn.XLOOKUP(B154,Products!A:A,Products!I:I),"REORDER REVIEW","Stock OK")</f>
        <v>REORDER REVIEW</v>
      </c>
    </row>
    <row r="155" spans="1:8">
      <c r="A155" s="2">
        <v>45931</v>
      </c>
      <c r="B155" t="s">
        <v>94</v>
      </c>
      <c r="C155">
        <v>0</v>
      </c>
      <c r="D155">
        <v>100</v>
      </c>
      <c r="E155">
        <v>662</v>
      </c>
      <c r="F155">
        <v>605</v>
      </c>
      <c r="G155">
        <v>176</v>
      </c>
      <c r="H155" t="str">
        <f>IF(C155&lt;=_xlfn.XLOOKUP(B155,Products!A:A,Products!I:I),"REORDER REVIEW","Stock OK")</f>
        <v>REORDER REVIEW</v>
      </c>
    </row>
    <row r="156" spans="1:8">
      <c r="A156" s="2">
        <v>45962</v>
      </c>
      <c r="B156" t="s">
        <v>94</v>
      </c>
      <c r="C156">
        <v>0</v>
      </c>
      <c r="D156">
        <v>50</v>
      </c>
      <c r="E156">
        <v>364</v>
      </c>
      <c r="F156">
        <v>605</v>
      </c>
      <c r="G156">
        <v>176</v>
      </c>
      <c r="H156" t="str">
        <f>IF(C156&lt;=_xlfn.XLOOKUP(B156,Products!A:A,Products!I:I),"REORDER REVIEW","Stock OK")</f>
        <v>REORDER REVIEW</v>
      </c>
    </row>
    <row r="157" spans="1:8">
      <c r="A157" s="2">
        <v>45992</v>
      </c>
      <c r="B157" t="s">
        <v>94</v>
      </c>
      <c r="C157">
        <v>0</v>
      </c>
      <c r="D157">
        <v>0</v>
      </c>
      <c r="E157">
        <v>881</v>
      </c>
      <c r="F157">
        <v>605</v>
      </c>
      <c r="G157">
        <v>176</v>
      </c>
      <c r="H157" t="str">
        <f>IF(C157&lt;=_xlfn.XLOOKUP(B157,Products!A:A,Products!I:I),"REORDER REVIEW","Stock OK")</f>
        <v>REORDER REVIEW</v>
      </c>
    </row>
    <row r="158" spans="1:8">
      <c r="A158" s="2">
        <v>45658</v>
      </c>
      <c r="B158" t="s">
        <v>96</v>
      </c>
      <c r="C158">
        <v>255</v>
      </c>
      <c r="D158">
        <v>50</v>
      </c>
      <c r="E158">
        <v>551</v>
      </c>
      <c r="F158">
        <v>527</v>
      </c>
      <c r="G158">
        <v>54</v>
      </c>
      <c r="H158" t="str">
        <f>IF(C158&lt;=_xlfn.XLOOKUP(B158,Products!A:A,Products!I:I),"REORDER REVIEW","Stock OK")</f>
        <v>REORDER REVIEW</v>
      </c>
    </row>
    <row r="159" spans="1:8">
      <c r="A159" s="2">
        <v>45689</v>
      </c>
      <c r="B159" t="s">
        <v>96</v>
      </c>
      <c r="C159">
        <v>0</v>
      </c>
      <c r="D159">
        <v>0</v>
      </c>
      <c r="E159">
        <v>935</v>
      </c>
      <c r="F159">
        <v>527</v>
      </c>
      <c r="G159">
        <v>54</v>
      </c>
      <c r="H159" t="str">
        <f>IF(C159&lt;=_xlfn.XLOOKUP(B159,Products!A:A,Products!I:I),"REORDER REVIEW","Stock OK")</f>
        <v>REORDER REVIEW</v>
      </c>
    </row>
    <row r="160" spans="1:8">
      <c r="A160" s="2">
        <v>45717</v>
      </c>
      <c r="B160" t="s">
        <v>96</v>
      </c>
      <c r="C160">
        <v>0</v>
      </c>
      <c r="D160">
        <v>200</v>
      </c>
      <c r="E160">
        <v>561</v>
      </c>
      <c r="F160">
        <v>527</v>
      </c>
      <c r="G160">
        <v>54</v>
      </c>
      <c r="H160" t="str">
        <f>IF(C160&lt;=_xlfn.XLOOKUP(B160,Products!A:A,Products!I:I),"REORDER REVIEW","Stock OK")</f>
        <v>REORDER REVIEW</v>
      </c>
    </row>
    <row r="161" spans="1:8">
      <c r="A161" s="2">
        <v>45748</v>
      </c>
      <c r="B161" t="s">
        <v>96</v>
      </c>
      <c r="C161">
        <v>0</v>
      </c>
      <c r="D161">
        <v>200</v>
      </c>
      <c r="E161">
        <v>675</v>
      </c>
      <c r="F161">
        <v>527</v>
      </c>
      <c r="G161">
        <v>54</v>
      </c>
      <c r="H161" t="str">
        <f>IF(C161&lt;=_xlfn.XLOOKUP(B161,Products!A:A,Products!I:I),"REORDER REVIEW","Stock OK")</f>
        <v>REORDER REVIEW</v>
      </c>
    </row>
    <row r="162" spans="1:8">
      <c r="A162" s="2">
        <v>45778</v>
      </c>
      <c r="B162" t="s">
        <v>96</v>
      </c>
      <c r="C162">
        <v>0</v>
      </c>
      <c r="D162">
        <v>0</v>
      </c>
      <c r="E162">
        <v>827</v>
      </c>
      <c r="F162">
        <v>527</v>
      </c>
      <c r="G162">
        <v>54</v>
      </c>
      <c r="H162" t="str">
        <f>IF(C162&lt;=_xlfn.XLOOKUP(B162,Products!A:A,Products!I:I),"REORDER REVIEW","Stock OK")</f>
        <v>REORDER REVIEW</v>
      </c>
    </row>
    <row r="163" spans="1:8">
      <c r="A163" s="2">
        <v>45809</v>
      </c>
      <c r="B163" t="s">
        <v>96</v>
      </c>
      <c r="C163">
        <v>0</v>
      </c>
      <c r="D163">
        <v>200</v>
      </c>
      <c r="E163">
        <v>159</v>
      </c>
      <c r="F163">
        <v>527</v>
      </c>
      <c r="G163">
        <v>54</v>
      </c>
      <c r="H163" t="str">
        <f>IF(C163&lt;=_xlfn.XLOOKUP(B163,Products!A:A,Products!I:I),"REORDER REVIEW","Stock OK")</f>
        <v>REORDER REVIEW</v>
      </c>
    </row>
    <row r="164" spans="1:8">
      <c r="A164" s="2">
        <v>45839</v>
      </c>
      <c r="B164" t="s">
        <v>96</v>
      </c>
      <c r="C164">
        <v>0</v>
      </c>
      <c r="D164">
        <v>100</v>
      </c>
      <c r="E164">
        <v>473</v>
      </c>
      <c r="F164">
        <v>527</v>
      </c>
      <c r="G164">
        <v>54</v>
      </c>
      <c r="H164" t="str">
        <f>IF(C164&lt;=_xlfn.XLOOKUP(B164,Products!A:A,Products!I:I),"REORDER REVIEW","Stock OK")</f>
        <v>REORDER REVIEW</v>
      </c>
    </row>
    <row r="165" spans="1:8">
      <c r="A165" s="2">
        <v>45870</v>
      </c>
      <c r="B165" t="s">
        <v>96</v>
      </c>
      <c r="C165">
        <v>0</v>
      </c>
      <c r="D165">
        <v>100</v>
      </c>
      <c r="E165">
        <v>531</v>
      </c>
      <c r="F165">
        <v>527</v>
      </c>
      <c r="G165">
        <v>54</v>
      </c>
      <c r="H165" t="str">
        <f>IF(C165&lt;=_xlfn.XLOOKUP(B165,Products!A:A,Products!I:I),"REORDER REVIEW","Stock OK")</f>
        <v>REORDER REVIEW</v>
      </c>
    </row>
    <row r="166" spans="1:8">
      <c r="A166" s="2">
        <v>45901</v>
      </c>
      <c r="B166" t="s">
        <v>96</v>
      </c>
      <c r="C166">
        <v>0</v>
      </c>
      <c r="D166">
        <v>200</v>
      </c>
      <c r="E166">
        <v>825</v>
      </c>
      <c r="F166">
        <v>527</v>
      </c>
      <c r="G166">
        <v>54</v>
      </c>
      <c r="H166" t="str">
        <f>IF(C166&lt;=_xlfn.XLOOKUP(B166,Products!A:A,Products!I:I),"REORDER REVIEW","Stock OK")</f>
        <v>REORDER REVIEW</v>
      </c>
    </row>
    <row r="167" spans="1:8">
      <c r="A167" s="2">
        <v>45931</v>
      </c>
      <c r="B167" t="s">
        <v>96</v>
      </c>
      <c r="C167">
        <v>0</v>
      </c>
      <c r="D167">
        <v>0</v>
      </c>
      <c r="E167">
        <v>449</v>
      </c>
      <c r="F167">
        <v>527</v>
      </c>
      <c r="G167">
        <v>54</v>
      </c>
      <c r="H167" t="str">
        <f>IF(C167&lt;=_xlfn.XLOOKUP(B167,Products!A:A,Products!I:I),"REORDER REVIEW","Stock OK")</f>
        <v>REORDER REVIEW</v>
      </c>
    </row>
    <row r="168" spans="1:8">
      <c r="A168" s="2">
        <v>45962</v>
      </c>
      <c r="B168" t="s">
        <v>96</v>
      </c>
      <c r="C168">
        <v>0</v>
      </c>
      <c r="D168">
        <v>50</v>
      </c>
      <c r="E168">
        <v>467</v>
      </c>
      <c r="F168">
        <v>527</v>
      </c>
      <c r="G168">
        <v>54</v>
      </c>
      <c r="H168" t="str">
        <f>IF(C168&lt;=_xlfn.XLOOKUP(B168,Products!A:A,Products!I:I),"REORDER REVIEW","Stock OK")</f>
        <v>REORDER REVIEW</v>
      </c>
    </row>
    <row r="169" spans="1:8">
      <c r="A169" s="2">
        <v>45992</v>
      </c>
      <c r="B169" t="s">
        <v>96</v>
      </c>
      <c r="C169">
        <v>0</v>
      </c>
      <c r="D169">
        <v>0</v>
      </c>
      <c r="E169">
        <v>439</v>
      </c>
      <c r="F169">
        <v>527</v>
      </c>
      <c r="G169">
        <v>54</v>
      </c>
      <c r="H169" t="str">
        <f>IF(C169&lt;=_xlfn.XLOOKUP(B169,Products!A:A,Products!I:I),"REORDER REVIEW","Stock OK")</f>
        <v>REORDER REVIEW</v>
      </c>
    </row>
    <row r="170" spans="1:8">
      <c r="A170" s="2">
        <v>45658</v>
      </c>
      <c r="B170" t="s">
        <v>98</v>
      </c>
      <c r="C170">
        <v>609</v>
      </c>
      <c r="D170">
        <v>200</v>
      </c>
      <c r="E170">
        <v>72</v>
      </c>
      <c r="F170">
        <v>151</v>
      </c>
      <c r="G170">
        <v>38</v>
      </c>
      <c r="H170" t="str">
        <f>IF(C170&lt;=_xlfn.XLOOKUP(B170,Products!A:A,Products!I:I),"REORDER REVIEW","Stock OK")</f>
        <v>Stock OK</v>
      </c>
    </row>
    <row r="171" spans="1:8">
      <c r="A171" s="2">
        <v>45689</v>
      </c>
      <c r="B171" t="s">
        <v>98</v>
      </c>
      <c r="C171">
        <v>803</v>
      </c>
      <c r="D171">
        <v>200</v>
      </c>
      <c r="E171">
        <v>106</v>
      </c>
      <c r="F171">
        <v>151</v>
      </c>
      <c r="G171">
        <v>38</v>
      </c>
      <c r="H171" t="str">
        <f>IF(C171&lt;=_xlfn.XLOOKUP(B171,Products!A:A,Products!I:I),"REORDER REVIEW","Stock OK")</f>
        <v>Stock OK</v>
      </c>
    </row>
    <row r="172" spans="1:8">
      <c r="A172" s="2">
        <v>45717</v>
      </c>
      <c r="B172" t="s">
        <v>98</v>
      </c>
      <c r="C172">
        <v>693</v>
      </c>
      <c r="D172">
        <v>0</v>
      </c>
      <c r="E172">
        <v>110</v>
      </c>
      <c r="F172">
        <v>151</v>
      </c>
      <c r="G172">
        <v>38</v>
      </c>
      <c r="H172" t="str">
        <f>IF(C172&lt;=_xlfn.XLOOKUP(B172,Products!A:A,Products!I:I),"REORDER REVIEW","Stock OK")</f>
        <v>Stock OK</v>
      </c>
    </row>
    <row r="173" spans="1:8">
      <c r="A173" s="2">
        <v>45748</v>
      </c>
      <c r="B173" t="s">
        <v>98</v>
      </c>
      <c r="C173">
        <v>609</v>
      </c>
      <c r="D173">
        <v>0</v>
      </c>
      <c r="E173">
        <v>84</v>
      </c>
      <c r="F173">
        <v>151</v>
      </c>
      <c r="G173">
        <v>38</v>
      </c>
      <c r="H173" t="str">
        <f>IF(C173&lt;=_xlfn.XLOOKUP(B173,Products!A:A,Products!I:I),"REORDER REVIEW","Stock OK")</f>
        <v>Stock OK</v>
      </c>
    </row>
    <row r="174" spans="1:8">
      <c r="A174" s="2">
        <v>45778</v>
      </c>
      <c r="B174" t="s">
        <v>98</v>
      </c>
      <c r="C174">
        <v>471</v>
      </c>
      <c r="D174">
        <v>0</v>
      </c>
      <c r="E174">
        <v>138</v>
      </c>
      <c r="F174">
        <v>151</v>
      </c>
      <c r="G174">
        <v>38</v>
      </c>
      <c r="H174" t="str">
        <f>IF(C174&lt;=_xlfn.XLOOKUP(B174,Products!A:A,Products!I:I),"REORDER REVIEW","Stock OK")</f>
        <v>Stock OK</v>
      </c>
    </row>
    <row r="175" spans="1:8">
      <c r="A175" s="2">
        <v>45809</v>
      </c>
      <c r="B175" t="s">
        <v>98</v>
      </c>
      <c r="C175">
        <v>597</v>
      </c>
      <c r="D175">
        <v>0</v>
      </c>
      <c r="E175">
        <v>174</v>
      </c>
      <c r="F175">
        <v>151</v>
      </c>
      <c r="G175">
        <v>38</v>
      </c>
      <c r="H175" t="str">
        <f>IF(C175&lt;=_xlfn.XLOOKUP(B175,Products!A:A,Products!I:I),"REORDER REVIEW","Stock OK")</f>
        <v>Stock OK</v>
      </c>
    </row>
    <row r="176" spans="1:8">
      <c r="A176" s="2">
        <v>45839</v>
      </c>
      <c r="B176" t="s">
        <v>98</v>
      </c>
      <c r="C176">
        <v>457</v>
      </c>
      <c r="D176">
        <v>50</v>
      </c>
      <c r="E176">
        <v>140</v>
      </c>
      <c r="F176">
        <v>151</v>
      </c>
      <c r="G176">
        <v>38</v>
      </c>
      <c r="H176" t="str">
        <f>IF(C176&lt;=_xlfn.XLOOKUP(B176,Products!A:A,Products!I:I),"REORDER REVIEW","Stock OK")</f>
        <v>Stock OK</v>
      </c>
    </row>
    <row r="177" spans="1:8">
      <c r="A177" s="2">
        <v>45870</v>
      </c>
      <c r="B177" t="s">
        <v>98</v>
      </c>
      <c r="C177">
        <v>540</v>
      </c>
      <c r="D177">
        <v>200</v>
      </c>
      <c r="E177">
        <v>117</v>
      </c>
      <c r="F177">
        <v>151</v>
      </c>
      <c r="G177">
        <v>38</v>
      </c>
      <c r="H177" t="str">
        <f>IF(C177&lt;=_xlfn.XLOOKUP(B177,Products!A:A,Products!I:I),"REORDER REVIEW","Stock OK")</f>
        <v>Stock OK</v>
      </c>
    </row>
    <row r="178" spans="1:8">
      <c r="A178" s="2">
        <v>45901</v>
      </c>
      <c r="B178" t="s">
        <v>98</v>
      </c>
      <c r="C178">
        <v>416</v>
      </c>
      <c r="D178">
        <v>50</v>
      </c>
      <c r="E178">
        <v>124</v>
      </c>
      <c r="F178">
        <v>151</v>
      </c>
      <c r="G178">
        <v>38</v>
      </c>
      <c r="H178" t="str">
        <f>IF(C178&lt;=_xlfn.XLOOKUP(B178,Products!A:A,Products!I:I),"REORDER REVIEW","Stock OK")</f>
        <v>Stock OK</v>
      </c>
    </row>
    <row r="179" spans="1:8">
      <c r="A179" s="2">
        <v>45931</v>
      </c>
      <c r="B179" t="s">
        <v>98</v>
      </c>
      <c r="C179">
        <v>429</v>
      </c>
      <c r="D179">
        <v>0</v>
      </c>
      <c r="E179">
        <v>87</v>
      </c>
      <c r="F179">
        <v>151</v>
      </c>
      <c r="G179">
        <v>38</v>
      </c>
      <c r="H179" t="str">
        <f>IF(C179&lt;=_xlfn.XLOOKUP(B179,Products!A:A,Products!I:I),"REORDER REVIEW","Stock OK")</f>
        <v>Stock OK</v>
      </c>
    </row>
    <row r="180" spans="1:8">
      <c r="A180" s="2">
        <v>45962</v>
      </c>
      <c r="B180" t="s">
        <v>98</v>
      </c>
      <c r="C180">
        <v>266</v>
      </c>
      <c r="D180">
        <v>0</v>
      </c>
      <c r="E180">
        <v>163</v>
      </c>
      <c r="F180">
        <v>151</v>
      </c>
      <c r="G180">
        <v>38</v>
      </c>
      <c r="H180" t="str">
        <f>IF(C180&lt;=_xlfn.XLOOKUP(B180,Products!A:A,Products!I:I),"REORDER REVIEW","Stock OK")</f>
        <v>Stock OK</v>
      </c>
    </row>
    <row r="181" spans="1:8">
      <c r="A181" s="2">
        <v>45992</v>
      </c>
      <c r="B181" t="s">
        <v>98</v>
      </c>
      <c r="C181">
        <v>107</v>
      </c>
      <c r="D181">
        <v>200</v>
      </c>
      <c r="E181">
        <v>159</v>
      </c>
      <c r="F181">
        <v>151</v>
      </c>
      <c r="G181">
        <v>38</v>
      </c>
      <c r="H181" t="str">
        <f>IF(C181&lt;=_xlfn.XLOOKUP(B181,Products!A:A,Products!I:I),"REORDER REVIEW","Stock OK")</f>
        <v>REORDER REVIEW</v>
      </c>
    </row>
    <row r="182" spans="1:8">
      <c r="A182" s="2">
        <v>45658</v>
      </c>
      <c r="B182" t="s">
        <v>100</v>
      </c>
      <c r="C182">
        <v>95</v>
      </c>
      <c r="D182">
        <v>200</v>
      </c>
      <c r="E182">
        <v>542</v>
      </c>
      <c r="F182">
        <v>453</v>
      </c>
      <c r="G182">
        <v>55</v>
      </c>
      <c r="H182" t="str">
        <f>IF(C182&lt;=_xlfn.XLOOKUP(B182,Products!A:A,Products!I:I),"REORDER REVIEW","Stock OK")</f>
        <v>REORDER REVIEW</v>
      </c>
    </row>
    <row r="183" spans="1:8">
      <c r="A183" s="2">
        <v>45689</v>
      </c>
      <c r="B183" t="s">
        <v>100</v>
      </c>
      <c r="C183">
        <v>0</v>
      </c>
      <c r="D183">
        <v>200</v>
      </c>
      <c r="E183">
        <v>565</v>
      </c>
      <c r="F183">
        <v>453</v>
      </c>
      <c r="G183">
        <v>55</v>
      </c>
      <c r="H183" t="str">
        <f>IF(C183&lt;=_xlfn.XLOOKUP(B183,Products!A:A,Products!I:I),"REORDER REVIEW","Stock OK")</f>
        <v>REORDER REVIEW</v>
      </c>
    </row>
    <row r="184" spans="1:8">
      <c r="A184" s="2">
        <v>45717</v>
      </c>
      <c r="B184" t="s">
        <v>100</v>
      </c>
      <c r="C184">
        <v>0</v>
      </c>
      <c r="D184">
        <v>50</v>
      </c>
      <c r="E184">
        <v>688</v>
      </c>
      <c r="F184">
        <v>453</v>
      </c>
      <c r="G184">
        <v>55</v>
      </c>
      <c r="H184" t="str">
        <f>IF(C184&lt;=_xlfn.XLOOKUP(B184,Products!A:A,Products!I:I),"REORDER REVIEW","Stock OK")</f>
        <v>REORDER REVIEW</v>
      </c>
    </row>
    <row r="185" spans="1:8">
      <c r="A185" s="2">
        <v>45748</v>
      </c>
      <c r="B185" t="s">
        <v>100</v>
      </c>
      <c r="C185">
        <v>0</v>
      </c>
      <c r="D185">
        <v>0</v>
      </c>
      <c r="E185">
        <v>384</v>
      </c>
      <c r="F185">
        <v>453</v>
      </c>
      <c r="G185">
        <v>55</v>
      </c>
      <c r="H185" t="str">
        <f>IF(C185&lt;=_xlfn.XLOOKUP(B185,Products!A:A,Products!I:I),"REORDER REVIEW","Stock OK")</f>
        <v>REORDER REVIEW</v>
      </c>
    </row>
    <row r="186" spans="1:8">
      <c r="A186" s="2">
        <v>45778</v>
      </c>
      <c r="B186" t="s">
        <v>100</v>
      </c>
      <c r="C186">
        <v>0</v>
      </c>
      <c r="D186">
        <v>0</v>
      </c>
      <c r="E186">
        <v>656</v>
      </c>
      <c r="F186">
        <v>453</v>
      </c>
      <c r="G186">
        <v>55</v>
      </c>
      <c r="H186" t="str">
        <f>IF(C186&lt;=_xlfn.XLOOKUP(B186,Products!A:A,Products!I:I),"REORDER REVIEW","Stock OK")</f>
        <v>REORDER REVIEW</v>
      </c>
    </row>
    <row r="187" spans="1:8">
      <c r="A187" s="2">
        <v>45809</v>
      </c>
      <c r="B187" t="s">
        <v>100</v>
      </c>
      <c r="C187">
        <v>0</v>
      </c>
      <c r="D187">
        <v>0</v>
      </c>
      <c r="E187">
        <v>867</v>
      </c>
      <c r="F187">
        <v>453</v>
      </c>
      <c r="G187">
        <v>55</v>
      </c>
      <c r="H187" t="str">
        <f>IF(C187&lt;=_xlfn.XLOOKUP(B187,Products!A:A,Products!I:I),"REORDER REVIEW","Stock OK")</f>
        <v>REORDER REVIEW</v>
      </c>
    </row>
    <row r="188" spans="1:8">
      <c r="A188" s="2">
        <v>45839</v>
      </c>
      <c r="B188" t="s">
        <v>100</v>
      </c>
      <c r="C188">
        <v>0</v>
      </c>
      <c r="D188">
        <v>0</v>
      </c>
      <c r="E188">
        <v>656</v>
      </c>
      <c r="F188">
        <v>453</v>
      </c>
      <c r="G188">
        <v>55</v>
      </c>
      <c r="H188" t="str">
        <f>IF(C188&lt;=_xlfn.XLOOKUP(B188,Products!A:A,Products!I:I),"REORDER REVIEW","Stock OK")</f>
        <v>REORDER REVIEW</v>
      </c>
    </row>
    <row r="189" spans="1:8">
      <c r="A189" s="2">
        <v>45870</v>
      </c>
      <c r="B189" t="s">
        <v>100</v>
      </c>
      <c r="C189">
        <v>0</v>
      </c>
      <c r="D189">
        <v>50</v>
      </c>
      <c r="E189">
        <v>484</v>
      </c>
      <c r="F189">
        <v>453</v>
      </c>
      <c r="G189">
        <v>55</v>
      </c>
      <c r="H189" t="str">
        <f>IF(C189&lt;=_xlfn.XLOOKUP(B189,Products!A:A,Products!I:I),"REORDER REVIEW","Stock OK")</f>
        <v>REORDER REVIEW</v>
      </c>
    </row>
    <row r="190" spans="1:8">
      <c r="A190" s="2">
        <v>45901</v>
      </c>
      <c r="B190" t="s">
        <v>100</v>
      </c>
      <c r="C190">
        <v>0</v>
      </c>
      <c r="D190">
        <v>0</v>
      </c>
      <c r="E190">
        <v>508</v>
      </c>
      <c r="F190">
        <v>453</v>
      </c>
      <c r="G190">
        <v>55</v>
      </c>
      <c r="H190" t="str">
        <f>IF(C190&lt;=_xlfn.XLOOKUP(B190,Products!A:A,Products!I:I),"REORDER REVIEW","Stock OK")</f>
        <v>REORDER REVIEW</v>
      </c>
    </row>
    <row r="191" spans="1:8">
      <c r="A191" s="2">
        <v>45931</v>
      </c>
      <c r="B191" t="s">
        <v>100</v>
      </c>
      <c r="C191">
        <v>0</v>
      </c>
      <c r="D191">
        <v>0</v>
      </c>
      <c r="E191">
        <v>629</v>
      </c>
      <c r="F191">
        <v>453</v>
      </c>
      <c r="G191">
        <v>55</v>
      </c>
      <c r="H191" t="str">
        <f>IF(C191&lt;=_xlfn.XLOOKUP(B191,Products!A:A,Products!I:I),"REORDER REVIEW","Stock OK")</f>
        <v>REORDER REVIEW</v>
      </c>
    </row>
    <row r="192" spans="1:8">
      <c r="A192" s="2">
        <v>45962</v>
      </c>
      <c r="B192" t="s">
        <v>100</v>
      </c>
      <c r="C192">
        <v>0</v>
      </c>
      <c r="D192">
        <v>200</v>
      </c>
      <c r="E192">
        <v>314</v>
      </c>
      <c r="F192">
        <v>453</v>
      </c>
      <c r="G192">
        <v>55</v>
      </c>
      <c r="H192" t="str">
        <f>IF(C192&lt;=_xlfn.XLOOKUP(B192,Products!A:A,Products!I:I),"REORDER REVIEW","Stock OK")</f>
        <v>REORDER REVIEW</v>
      </c>
    </row>
    <row r="193" spans="1:8">
      <c r="A193" s="2">
        <v>45992</v>
      </c>
      <c r="B193" t="s">
        <v>100</v>
      </c>
      <c r="C193">
        <v>0</v>
      </c>
      <c r="D193">
        <v>0</v>
      </c>
      <c r="E193">
        <v>515</v>
      </c>
      <c r="F193">
        <v>453</v>
      </c>
      <c r="G193">
        <v>55</v>
      </c>
      <c r="H193" t="str">
        <f>IF(C193&lt;=_xlfn.XLOOKUP(B193,Products!A:A,Products!I:I),"REORDER REVIEW","Stock OK")</f>
        <v>REORDER REVIEW</v>
      </c>
    </row>
    <row r="194" spans="1:8">
      <c r="A194" s="2">
        <v>45658</v>
      </c>
      <c r="B194" t="s">
        <v>102</v>
      </c>
      <c r="C194">
        <v>112</v>
      </c>
      <c r="D194">
        <v>200</v>
      </c>
      <c r="E194">
        <v>55</v>
      </c>
      <c r="F194">
        <v>97</v>
      </c>
      <c r="G194">
        <v>85</v>
      </c>
      <c r="H194" t="str">
        <f>IF(C194&lt;=_xlfn.XLOOKUP(B194,Products!A:A,Products!I:I),"REORDER REVIEW","Stock OK")</f>
        <v>Stock OK</v>
      </c>
    </row>
    <row r="195" spans="1:8">
      <c r="A195" s="2">
        <v>45689</v>
      </c>
      <c r="B195" t="s">
        <v>102</v>
      </c>
      <c r="C195">
        <v>368</v>
      </c>
      <c r="D195">
        <v>50</v>
      </c>
      <c r="E195">
        <v>44</v>
      </c>
      <c r="F195">
        <v>97</v>
      </c>
      <c r="G195">
        <v>85</v>
      </c>
      <c r="H195" t="str">
        <f>IF(C195&lt;=_xlfn.XLOOKUP(B195,Products!A:A,Products!I:I),"REORDER REVIEW","Stock OK")</f>
        <v>Stock OK</v>
      </c>
    </row>
    <row r="196" spans="1:8">
      <c r="A196" s="2">
        <v>45717</v>
      </c>
      <c r="B196" t="s">
        <v>102</v>
      </c>
      <c r="C196">
        <v>410</v>
      </c>
      <c r="D196">
        <v>100</v>
      </c>
      <c r="E196">
        <v>58</v>
      </c>
      <c r="F196">
        <v>97</v>
      </c>
      <c r="G196">
        <v>85</v>
      </c>
      <c r="H196" t="str">
        <f>IF(C196&lt;=_xlfn.XLOOKUP(B196,Products!A:A,Products!I:I),"REORDER REVIEW","Stock OK")</f>
        <v>Stock OK</v>
      </c>
    </row>
    <row r="197" spans="1:8">
      <c r="A197" s="2">
        <v>45748</v>
      </c>
      <c r="B197" t="s">
        <v>102</v>
      </c>
      <c r="C197">
        <v>351</v>
      </c>
      <c r="D197">
        <v>50</v>
      </c>
      <c r="E197">
        <v>59</v>
      </c>
      <c r="F197">
        <v>97</v>
      </c>
      <c r="G197">
        <v>85</v>
      </c>
      <c r="H197" t="str">
        <f>IF(C197&lt;=_xlfn.XLOOKUP(B197,Products!A:A,Products!I:I),"REORDER REVIEW","Stock OK")</f>
        <v>Stock OK</v>
      </c>
    </row>
    <row r="198" spans="1:8">
      <c r="A198" s="2">
        <v>45778</v>
      </c>
      <c r="B198" t="s">
        <v>102</v>
      </c>
      <c r="C198">
        <v>609</v>
      </c>
      <c r="D198">
        <v>50</v>
      </c>
      <c r="E198">
        <v>42</v>
      </c>
      <c r="F198">
        <v>97</v>
      </c>
      <c r="G198">
        <v>85</v>
      </c>
      <c r="H198" t="str">
        <f>IF(C198&lt;=_xlfn.XLOOKUP(B198,Products!A:A,Products!I:I),"REORDER REVIEW","Stock OK")</f>
        <v>Stock OK</v>
      </c>
    </row>
    <row r="199" spans="1:8">
      <c r="A199" s="2">
        <v>45809</v>
      </c>
      <c r="B199" t="s">
        <v>102</v>
      </c>
      <c r="C199">
        <v>554</v>
      </c>
      <c r="D199">
        <v>50</v>
      </c>
      <c r="E199">
        <v>55</v>
      </c>
      <c r="F199">
        <v>97</v>
      </c>
      <c r="G199">
        <v>85</v>
      </c>
      <c r="H199" t="str">
        <f>IF(C199&lt;=_xlfn.XLOOKUP(B199,Products!A:A,Products!I:I),"REORDER REVIEW","Stock OK")</f>
        <v>Stock OK</v>
      </c>
    </row>
    <row r="200" spans="1:8">
      <c r="A200" s="2">
        <v>45839</v>
      </c>
      <c r="B200" t="s">
        <v>102</v>
      </c>
      <c r="C200">
        <v>622</v>
      </c>
      <c r="D200">
        <v>0</v>
      </c>
      <c r="E200">
        <v>32</v>
      </c>
      <c r="F200">
        <v>97</v>
      </c>
      <c r="G200">
        <v>85</v>
      </c>
      <c r="H200" t="str">
        <f>IF(C200&lt;=_xlfn.XLOOKUP(B200,Products!A:A,Products!I:I),"REORDER REVIEW","Stock OK")</f>
        <v>Stock OK</v>
      </c>
    </row>
    <row r="201" spans="1:8">
      <c r="A201" s="2">
        <v>45870</v>
      </c>
      <c r="B201" t="s">
        <v>102</v>
      </c>
      <c r="C201">
        <v>556</v>
      </c>
      <c r="D201">
        <v>100</v>
      </c>
      <c r="E201">
        <v>66</v>
      </c>
      <c r="F201">
        <v>97</v>
      </c>
      <c r="G201">
        <v>85</v>
      </c>
      <c r="H201" t="str">
        <f>IF(C201&lt;=_xlfn.XLOOKUP(B201,Products!A:A,Products!I:I),"REORDER REVIEW","Stock OK")</f>
        <v>Stock OK</v>
      </c>
    </row>
    <row r="202" spans="1:8">
      <c r="A202" s="2">
        <v>45901</v>
      </c>
      <c r="B202" t="s">
        <v>102</v>
      </c>
      <c r="C202">
        <v>518</v>
      </c>
      <c r="D202">
        <v>100</v>
      </c>
      <c r="E202">
        <v>38</v>
      </c>
      <c r="F202">
        <v>97</v>
      </c>
      <c r="G202">
        <v>85</v>
      </c>
      <c r="H202" t="str">
        <f>IF(C202&lt;=_xlfn.XLOOKUP(B202,Products!A:A,Products!I:I),"REORDER REVIEW","Stock OK")</f>
        <v>Stock OK</v>
      </c>
    </row>
    <row r="203" spans="1:8">
      <c r="A203" s="2">
        <v>45931</v>
      </c>
      <c r="B203" t="s">
        <v>102</v>
      </c>
      <c r="C203">
        <v>481</v>
      </c>
      <c r="D203">
        <v>0</v>
      </c>
      <c r="E203">
        <v>37</v>
      </c>
      <c r="F203">
        <v>97</v>
      </c>
      <c r="G203">
        <v>85</v>
      </c>
      <c r="H203" t="str">
        <f>IF(C203&lt;=_xlfn.XLOOKUP(B203,Products!A:A,Products!I:I),"REORDER REVIEW","Stock OK")</f>
        <v>Stock OK</v>
      </c>
    </row>
    <row r="204" spans="1:8">
      <c r="A204" s="2">
        <v>45962</v>
      </c>
      <c r="B204" t="s">
        <v>102</v>
      </c>
      <c r="C204">
        <v>609</v>
      </c>
      <c r="D204">
        <v>50</v>
      </c>
      <c r="E204">
        <v>72</v>
      </c>
      <c r="F204">
        <v>97</v>
      </c>
      <c r="G204">
        <v>85</v>
      </c>
      <c r="H204" t="str">
        <f>IF(C204&lt;=_xlfn.XLOOKUP(B204,Products!A:A,Products!I:I),"REORDER REVIEW","Stock OK")</f>
        <v>Stock OK</v>
      </c>
    </row>
    <row r="205" spans="1:8">
      <c r="A205" s="2">
        <v>45992</v>
      </c>
      <c r="B205" t="s">
        <v>102</v>
      </c>
      <c r="C205">
        <v>557</v>
      </c>
      <c r="D205">
        <v>0</v>
      </c>
      <c r="E205">
        <v>52</v>
      </c>
      <c r="F205">
        <v>97</v>
      </c>
      <c r="G205">
        <v>85</v>
      </c>
      <c r="H205" t="str">
        <f>IF(C205&lt;=_xlfn.XLOOKUP(B205,Products!A:A,Products!I:I),"REORDER REVIEW","Stock OK")</f>
        <v>Stock OK</v>
      </c>
    </row>
    <row r="206" spans="1:8">
      <c r="A206" s="2">
        <v>45658</v>
      </c>
      <c r="B206" t="s">
        <v>104</v>
      </c>
      <c r="C206">
        <v>343</v>
      </c>
      <c r="D206">
        <v>100</v>
      </c>
      <c r="E206">
        <v>145</v>
      </c>
      <c r="F206">
        <v>195</v>
      </c>
      <c r="G206">
        <v>95</v>
      </c>
      <c r="H206" t="str">
        <f>IF(C206&lt;=_xlfn.XLOOKUP(B206,Products!A:A,Products!I:I),"REORDER REVIEW","Stock OK")</f>
        <v>Stock OK</v>
      </c>
    </row>
    <row r="207" spans="1:8">
      <c r="A207" s="2">
        <v>45689</v>
      </c>
      <c r="B207" t="s">
        <v>104</v>
      </c>
      <c r="C207">
        <v>43</v>
      </c>
      <c r="D207">
        <v>200</v>
      </c>
      <c r="E207">
        <v>300</v>
      </c>
      <c r="F207">
        <v>195</v>
      </c>
      <c r="G207">
        <v>95</v>
      </c>
      <c r="H207" t="str">
        <f>IF(C207&lt;=_xlfn.XLOOKUP(B207,Products!A:A,Products!I:I),"REORDER REVIEW","Stock OK")</f>
        <v>REORDER REVIEW</v>
      </c>
    </row>
    <row r="208" spans="1:8">
      <c r="A208" s="2">
        <v>45717</v>
      </c>
      <c r="B208" t="s">
        <v>104</v>
      </c>
      <c r="C208">
        <v>79</v>
      </c>
      <c r="D208">
        <v>50</v>
      </c>
      <c r="E208">
        <v>264</v>
      </c>
      <c r="F208">
        <v>195</v>
      </c>
      <c r="G208">
        <v>95</v>
      </c>
      <c r="H208" t="str">
        <f>IF(C208&lt;=_xlfn.XLOOKUP(B208,Products!A:A,Products!I:I),"REORDER REVIEW","Stock OK")</f>
        <v>REORDER REVIEW</v>
      </c>
    </row>
    <row r="209" spans="1:8">
      <c r="A209" s="2">
        <v>45748</v>
      </c>
      <c r="B209" t="s">
        <v>104</v>
      </c>
      <c r="C209">
        <v>104</v>
      </c>
      <c r="D209">
        <v>200</v>
      </c>
      <c r="E209">
        <v>275</v>
      </c>
      <c r="F209">
        <v>195</v>
      </c>
      <c r="G209">
        <v>95</v>
      </c>
      <c r="H209" t="str">
        <f>IF(C209&lt;=_xlfn.XLOOKUP(B209,Products!A:A,Products!I:I),"REORDER REVIEW","Stock OK")</f>
        <v>REORDER REVIEW</v>
      </c>
    </row>
    <row r="210" spans="1:8">
      <c r="A210" s="2">
        <v>45778</v>
      </c>
      <c r="B210" t="s">
        <v>104</v>
      </c>
      <c r="C210">
        <v>0</v>
      </c>
      <c r="D210">
        <v>0</v>
      </c>
      <c r="E210">
        <v>199</v>
      </c>
      <c r="F210">
        <v>195</v>
      </c>
      <c r="G210">
        <v>95</v>
      </c>
      <c r="H210" t="str">
        <f>IF(C210&lt;=_xlfn.XLOOKUP(B210,Products!A:A,Products!I:I),"REORDER REVIEW","Stock OK")</f>
        <v>REORDER REVIEW</v>
      </c>
    </row>
    <row r="211" spans="1:8">
      <c r="A211" s="2">
        <v>45809</v>
      </c>
      <c r="B211" t="s">
        <v>104</v>
      </c>
      <c r="C211">
        <v>0</v>
      </c>
      <c r="D211">
        <v>0</v>
      </c>
      <c r="E211">
        <v>184</v>
      </c>
      <c r="F211">
        <v>195</v>
      </c>
      <c r="G211">
        <v>95</v>
      </c>
      <c r="H211" t="str">
        <f>IF(C211&lt;=_xlfn.XLOOKUP(B211,Products!A:A,Products!I:I),"REORDER REVIEW","Stock OK")</f>
        <v>REORDER REVIEW</v>
      </c>
    </row>
    <row r="212" spans="1:8">
      <c r="A212" s="2">
        <v>45839</v>
      </c>
      <c r="B212" t="s">
        <v>104</v>
      </c>
      <c r="C212">
        <v>0</v>
      </c>
      <c r="D212">
        <v>0</v>
      </c>
      <c r="E212">
        <v>217</v>
      </c>
      <c r="F212">
        <v>195</v>
      </c>
      <c r="G212">
        <v>95</v>
      </c>
      <c r="H212" t="str">
        <f>IF(C212&lt;=_xlfn.XLOOKUP(B212,Products!A:A,Products!I:I),"REORDER REVIEW","Stock OK")</f>
        <v>REORDER REVIEW</v>
      </c>
    </row>
    <row r="213" spans="1:8">
      <c r="A213" s="2">
        <v>45870</v>
      </c>
      <c r="B213" t="s">
        <v>104</v>
      </c>
      <c r="C213">
        <v>0</v>
      </c>
      <c r="D213">
        <v>0</v>
      </c>
      <c r="E213">
        <v>201</v>
      </c>
      <c r="F213">
        <v>195</v>
      </c>
      <c r="G213">
        <v>95</v>
      </c>
      <c r="H213" t="str">
        <f>IF(C213&lt;=_xlfn.XLOOKUP(B213,Products!A:A,Products!I:I),"REORDER REVIEW","Stock OK")</f>
        <v>REORDER REVIEW</v>
      </c>
    </row>
    <row r="214" spans="1:8">
      <c r="A214" s="2">
        <v>45901</v>
      </c>
      <c r="B214" t="s">
        <v>104</v>
      </c>
      <c r="C214">
        <v>0</v>
      </c>
      <c r="D214">
        <v>0</v>
      </c>
      <c r="E214">
        <v>203</v>
      </c>
      <c r="F214">
        <v>195</v>
      </c>
      <c r="G214">
        <v>95</v>
      </c>
      <c r="H214" t="str">
        <f>IF(C214&lt;=_xlfn.XLOOKUP(B214,Products!A:A,Products!I:I),"REORDER REVIEW","Stock OK")</f>
        <v>REORDER REVIEW</v>
      </c>
    </row>
    <row r="215" spans="1:8">
      <c r="A215" s="2">
        <v>45931</v>
      </c>
      <c r="B215" t="s">
        <v>104</v>
      </c>
      <c r="C215">
        <v>0</v>
      </c>
      <c r="D215">
        <v>100</v>
      </c>
      <c r="E215">
        <v>158</v>
      </c>
      <c r="F215">
        <v>195</v>
      </c>
      <c r="G215">
        <v>95</v>
      </c>
      <c r="H215" t="str">
        <f>IF(C215&lt;=_xlfn.XLOOKUP(B215,Products!A:A,Products!I:I),"REORDER REVIEW","Stock OK")</f>
        <v>REORDER REVIEW</v>
      </c>
    </row>
    <row r="216" spans="1:8">
      <c r="A216" s="2">
        <v>45962</v>
      </c>
      <c r="B216" t="s">
        <v>104</v>
      </c>
      <c r="C216">
        <v>3</v>
      </c>
      <c r="D216">
        <v>50</v>
      </c>
      <c r="E216">
        <v>97</v>
      </c>
      <c r="F216">
        <v>195</v>
      </c>
      <c r="G216">
        <v>95</v>
      </c>
      <c r="H216" t="str">
        <f>IF(C216&lt;=_xlfn.XLOOKUP(B216,Products!A:A,Products!I:I),"REORDER REVIEW","Stock OK")</f>
        <v>REORDER REVIEW</v>
      </c>
    </row>
    <row r="217" spans="1:8">
      <c r="A217" s="2">
        <v>45992</v>
      </c>
      <c r="B217" t="s">
        <v>104</v>
      </c>
      <c r="C217">
        <v>0</v>
      </c>
      <c r="D217">
        <v>0</v>
      </c>
      <c r="E217">
        <v>157</v>
      </c>
      <c r="F217">
        <v>195</v>
      </c>
      <c r="G217">
        <v>95</v>
      </c>
      <c r="H217" t="str">
        <f>IF(C217&lt;=_xlfn.XLOOKUP(B217,Products!A:A,Products!I:I),"REORDER REVIEW","Stock OK")</f>
        <v>REORDER REVIEW</v>
      </c>
    </row>
    <row r="218" spans="1:8">
      <c r="A218" s="2">
        <v>45658</v>
      </c>
      <c r="B218" t="s">
        <v>106</v>
      </c>
      <c r="C218">
        <v>0</v>
      </c>
      <c r="D218">
        <v>0</v>
      </c>
      <c r="E218">
        <v>257</v>
      </c>
      <c r="F218">
        <v>232</v>
      </c>
      <c r="G218">
        <v>55</v>
      </c>
      <c r="H218" t="str">
        <f>IF(C218&lt;=_xlfn.XLOOKUP(B218,Products!A:A,Products!I:I),"REORDER REVIEW","Stock OK")</f>
        <v>REORDER REVIEW</v>
      </c>
    </row>
    <row r="219" spans="1:8">
      <c r="A219" s="2">
        <v>45689</v>
      </c>
      <c r="B219" t="s">
        <v>106</v>
      </c>
      <c r="C219">
        <v>0</v>
      </c>
      <c r="D219">
        <v>0</v>
      </c>
      <c r="E219">
        <v>520</v>
      </c>
      <c r="F219">
        <v>232</v>
      </c>
      <c r="G219">
        <v>55</v>
      </c>
      <c r="H219" t="str">
        <f>IF(C219&lt;=_xlfn.XLOOKUP(B219,Products!A:A,Products!I:I),"REORDER REVIEW","Stock OK")</f>
        <v>REORDER REVIEW</v>
      </c>
    </row>
    <row r="220" spans="1:8">
      <c r="A220" s="2">
        <v>45717</v>
      </c>
      <c r="B220" t="s">
        <v>106</v>
      </c>
      <c r="C220">
        <v>0</v>
      </c>
      <c r="D220">
        <v>100</v>
      </c>
      <c r="E220">
        <v>423</v>
      </c>
      <c r="F220">
        <v>232</v>
      </c>
      <c r="G220">
        <v>55</v>
      </c>
      <c r="H220" t="str">
        <f>IF(C220&lt;=_xlfn.XLOOKUP(B220,Products!A:A,Products!I:I),"REORDER REVIEW","Stock OK")</f>
        <v>REORDER REVIEW</v>
      </c>
    </row>
    <row r="221" spans="1:8">
      <c r="A221" s="2">
        <v>45748</v>
      </c>
      <c r="B221" t="s">
        <v>106</v>
      </c>
      <c r="C221">
        <v>0</v>
      </c>
      <c r="D221">
        <v>0</v>
      </c>
      <c r="E221">
        <v>569</v>
      </c>
      <c r="F221">
        <v>232</v>
      </c>
      <c r="G221">
        <v>55</v>
      </c>
      <c r="H221" t="str">
        <f>IF(C221&lt;=_xlfn.XLOOKUP(B221,Products!A:A,Products!I:I),"REORDER REVIEW","Stock OK")</f>
        <v>REORDER REVIEW</v>
      </c>
    </row>
    <row r="222" spans="1:8">
      <c r="A222" s="2">
        <v>45778</v>
      </c>
      <c r="B222" t="s">
        <v>106</v>
      </c>
      <c r="C222">
        <v>0</v>
      </c>
      <c r="D222">
        <v>50</v>
      </c>
      <c r="E222">
        <v>573</v>
      </c>
      <c r="F222">
        <v>232</v>
      </c>
      <c r="G222">
        <v>55</v>
      </c>
      <c r="H222" t="str">
        <f>IF(C222&lt;=_xlfn.XLOOKUP(B222,Products!A:A,Products!I:I),"REORDER REVIEW","Stock OK")</f>
        <v>REORDER REVIEW</v>
      </c>
    </row>
    <row r="223" spans="1:8">
      <c r="A223" s="2">
        <v>45809</v>
      </c>
      <c r="B223" t="s">
        <v>106</v>
      </c>
      <c r="C223">
        <v>0</v>
      </c>
      <c r="D223">
        <v>200</v>
      </c>
      <c r="E223">
        <v>409</v>
      </c>
      <c r="F223">
        <v>232</v>
      </c>
      <c r="G223">
        <v>55</v>
      </c>
      <c r="H223" t="str">
        <f>IF(C223&lt;=_xlfn.XLOOKUP(B223,Products!A:A,Products!I:I),"REORDER REVIEW","Stock OK")</f>
        <v>REORDER REVIEW</v>
      </c>
    </row>
    <row r="224" spans="1:8">
      <c r="A224" s="2">
        <v>45839</v>
      </c>
      <c r="B224" t="s">
        <v>106</v>
      </c>
      <c r="C224">
        <v>0</v>
      </c>
      <c r="D224">
        <v>0</v>
      </c>
      <c r="E224">
        <v>672</v>
      </c>
      <c r="F224">
        <v>232</v>
      </c>
      <c r="G224">
        <v>55</v>
      </c>
      <c r="H224" t="str">
        <f>IF(C224&lt;=_xlfn.XLOOKUP(B224,Products!A:A,Products!I:I),"REORDER REVIEW","Stock OK")</f>
        <v>REORDER REVIEW</v>
      </c>
    </row>
    <row r="225" spans="1:8">
      <c r="A225" s="2">
        <v>45870</v>
      </c>
      <c r="B225" t="s">
        <v>106</v>
      </c>
      <c r="C225">
        <v>0</v>
      </c>
      <c r="D225">
        <v>100</v>
      </c>
      <c r="E225">
        <v>354</v>
      </c>
      <c r="F225">
        <v>232</v>
      </c>
      <c r="G225">
        <v>55</v>
      </c>
      <c r="H225" t="str">
        <f>IF(C225&lt;=_xlfn.XLOOKUP(B225,Products!A:A,Products!I:I),"REORDER REVIEW","Stock OK")</f>
        <v>REORDER REVIEW</v>
      </c>
    </row>
    <row r="226" spans="1:8">
      <c r="A226" s="2">
        <v>45901</v>
      </c>
      <c r="B226" t="s">
        <v>106</v>
      </c>
      <c r="C226">
        <v>0</v>
      </c>
      <c r="D226">
        <v>50</v>
      </c>
      <c r="E226">
        <v>890</v>
      </c>
      <c r="F226">
        <v>232</v>
      </c>
      <c r="G226">
        <v>55</v>
      </c>
      <c r="H226" t="str">
        <f>IF(C226&lt;=_xlfn.XLOOKUP(B226,Products!A:A,Products!I:I),"REORDER REVIEW","Stock OK")</f>
        <v>REORDER REVIEW</v>
      </c>
    </row>
    <row r="227" spans="1:8">
      <c r="A227" s="2">
        <v>45931</v>
      </c>
      <c r="B227" t="s">
        <v>106</v>
      </c>
      <c r="C227">
        <v>0</v>
      </c>
      <c r="D227">
        <v>50</v>
      </c>
      <c r="E227">
        <v>382</v>
      </c>
      <c r="F227">
        <v>232</v>
      </c>
      <c r="G227">
        <v>55</v>
      </c>
      <c r="H227" t="str">
        <f>IF(C227&lt;=_xlfn.XLOOKUP(B227,Products!A:A,Products!I:I),"REORDER REVIEW","Stock OK")</f>
        <v>REORDER REVIEW</v>
      </c>
    </row>
    <row r="228" spans="1:8">
      <c r="A228" s="2">
        <v>45962</v>
      </c>
      <c r="B228" t="s">
        <v>106</v>
      </c>
      <c r="C228">
        <v>0</v>
      </c>
      <c r="D228">
        <v>0</v>
      </c>
      <c r="E228">
        <v>638</v>
      </c>
      <c r="F228">
        <v>232</v>
      </c>
      <c r="G228">
        <v>55</v>
      </c>
      <c r="H228" t="str">
        <f>IF(C228&lt;=_xlfn.XLOOKUP(B228,Products!A:A,Products!I:I),"REORDER REVIEW","Stock OK")</f>
        <v>REORDER REVIEW</v>
      </c>
    </row>
    <row r="229" spans="1:8">
      <c r="A229" s="2">
        <v>45992</v>
      </c>
      <c r="B229" t="s">
        <v>106</v>
      </c>
      <c r="C229">
        <v>0</v>
      </c>
      <c r="D229">
        <v>100</v>
      </c>
      <c r="E229">
        <v>751</v>
      </c>
      <c r="F229">
        <v>232</v>
      </c>
      <c r="G229">
        <v>55</v>
      </c>
      <c r="H229" t="str">
        <f>IF(C229&lt;=_xlfn.XLOOKUP(B229,Products!A:A,Products!I:I),"REORDER REVIEW","Stock OK")</f>
        <v>REORDER REVIEW</v>
      </c>
    </row>
    <row r="230" spans="1:8">
      <c r="A230" s="2">
        <v>45658</v>
      </c>
      <c r="B230" t="s">
        <v>108</v>
      </c>
      <c r="C230">
        <v>136</v>
      </c>
      <c r="D230">
        <v>0</v>
      </c>
      <c r="E230">
        <v>312</v>
      </c>
      <c r="F230">
        <v>397</v>
      </c>
      <c r="G230">
        <v>113</v>
      </c>
      <c r="H230" t="str">
        <f>IF(C230&lt;=_xlfn.XLOOKUP(B230,Products!A:A,Products!I:I),"REORDER REVIEW","Stock OK")</f>
        <v>REORDER REVIEW</v>
      </c>
    </row>
    <row r="231" spans="1:8">
      <c r="A231" s="2">
        <v>45689</v>
      </c>
      <c r="B231" t="s">
        <v>108</v>
      </c>
      <c r="C231">
        <v>0</v>
      </c>
      <c r="D231">
        <v>50</v>
      </c>
      <c r="E231">
        <v>284</v>
      </c>
      <c r="F231">
        <v>397</v>
      </c>
      <c r="G231">
        <v>113</v>
      </c>
      <c r="H231" t="str">
        <f>IF(C231&lt;=_xlfn.XLOOKUP(B231,Products!A:A,Products!I:I),"REORDER REVIEW","Stock OK")</f>
        <v>REORDER REVIEW</v>
      </c>
    </row>
    <row r="232" spans="1:8">
      <c r="A232" s="2">
        <v>45717</v>
      </c>
      <c r="B232" t="s">
        <v>108</v>
      </c>
      <c r="C232">
        <v>0</v>
      </c>
      <c r="D232">
        <v>0</v>
      </c>
      <c r="E232">
        <v>298</v>
      </c>
      <c r="F232">
        <v>397</v>
      </c>
      <c r="G232">
        <v>113</v>
      </c>
      <c r="H232" t="str">
        <f>IF(C232&lt;=_xlfn.XLOOKUP(B232,Products!A:A,Products!I:I),"REORDER REVIEW","Stock OK")</f>
        <v>REORDER REVIEW</v>
      </c>
    </row>
    <row r="233" spans="1:8">
      <c r="A233" s="2">
        <v>45748</v>
      </c>
      <c r="B233" t="s">
        <v>108</v>
      </c>
      <c r="C233">
        <v>0</v>
      </c>
      <c r="D233">
        <v>0</v>
      </c>
      <c r="E233">
        <v>354</v>
      </c>
      <c r="F233">
        <v>397</v>
      </c>
      <c r="G233">
        <v>113</v>
      </c>
      <c r="H233" t="str">
        <f>IF(C233&lt;=_xlfn.XLOOKUP(B233,Products!A:A,Products!I:I),"REORDER REVIEW","Stock OK")</f>
        <v>REORDER REVIEW</v>
      </c>
    </row>
    <row r="234" spans="1:8">
      <c r="A234" s="2">
        <v>45778</v>
      </c>
      <c r="B234" t="s">
        <v>108</v>
      </c>
      <c r="C234">
        <v>0</v>
      </c>
      <c r="D234">
        <v>50</v>
      </c>
      <c r="E234">
        <v>466</v>
      </c>
      <c r="F234">
        <v>397</v>
      </c>
      <c r="G234">
        <v>113</v>
      </c>
      <c r="H234" t="str">
        <f>IF(C234&lt;=_xlfn.XLOOKUP(B234,Products!A:A,Products!I:I),"REORDER REVIEW","Stock OK")</f>
        <v>REORDER REVIEW</v>
      </c>
    </row>
    <row r="235" spans="1:8">
      <c r="A235" s="2">
        <v>45809</v>
      </c>
      <c r="B235" t="s">
        <v>108</v>
      </c>
      <c r="C235">
        <v>0</v>
      </c>
      <c r="D235">
        <v>50</v>
      </c>
      <c r="E235">
        <v>307</v>
      </c>
      <c r="F235">
        <v>397</v>
      </c>
      <c r="G235">
        <v>113</v>
      </c>
      <c r="H235" t="str">
        <f>IF(C235&lt;=_xlfn.XLOOKUP(B235,Products!A:A,Products!I:I),"REORDER REVIEW","Stock OK")</f>
        <v>REORDER REVIEW</v>
      </c>
    </row>
    <row r="236" spans="1:8">
      <c r="A236" s="2">
        <v>45839</v>
      </c>
      <c r="B236" t="s">
        <v>108</v>
      </c>
      <c r="C236">
        <v>0</v>
      </c>
      <c r="D236">
        <v>0</v>
      </c>
      <c r="E236">
        <v>332</v>
      </c>
      <c r="F236">
        <v>397</v>
      </c>
      <c r="G236">
        <v>113</v>
      </c>
      <c r="H236" t="str">
        <f>IF(C236&lt;=_xlfn.XLOOKUP(B236,Products!A:A,Products!I:I),"REORDER REVIEW","Stock OK")</f>
        <v>REORDER REVIEW</v>
      </c>
    </row>
    <row r="237" spans="1:8">
      <c r="A237" s="2">
        <v>45870</v>
      </c>
      <c r="B237" t="s">
        <v>108</v>
      </c>
      <c r="C237">
        <v>0</v>
      </c>
      <c r="D237">
        <v>0</v>
      </c>
      <c r="E237">
        <v>336</v>
      </c>
      <c r="F237">
        <v>397</v>
      </c>
      <c r="G237">
        <v>113</v>
      </c>
      <c r="H237" t="str">
        <f>IF(C237&lt;=_xlfn.XLOOKUP(B237,Products!A:A,Products!I:I),"REORDER REVIEW","Stock OK")</f>
        <v>REORDER REVIEW</v>
      </c>
    </row>
    <row r="238" spans="1:8">
      <c r="A238" s="2">
        <v>45901</v>
      </c>
      <c r="B238" t="s">
        <v>108</v>
      </c>
      <c r="C238">
        <v>0</v>
      </c>
      <c r="D238">
        <v>100</v>
      </c>
      <c r="E238">
        <v>490</v>
      </c>
      <c r="F238">
        <v>397</v>
      </c>
      <c r="G238">
        <v>113</v>
      </c>
      <c r="H238" t="str">
        <f>IF(C238&lt;=_xlfn.XLOOKUP(B238,Products!A:A,Products!I:I),"REORDER REVIEW","Stock OK")</f>
        <v>REORDER REVIEW</v>
      </c>
    </row>
    <row r="239" spans="1:8">
      <c r="A239" s="2">
        <v>45931</v>
      </c>
      <c r="B239" t="s">
        <v>108</v>
      </c>
      <c r="C239">
        <v>0</v>
      </c>
      <c r="D239">
        <v>0</v>
      </c>
      <c r="E239">
        <v>358</v>
      </c>
      <c r="F239">
        <v>397</v>
      </c>
      <c r="G239">
        <v>113</v>
      </c>
      <c r="H239" t="str">
        <f>IF(C239&lt;=_xlfn.XLOOKUP(B239,Products!A:A,Products!I:I),"REORDER REVIEW","Stock OK")</f>
        <v>REORDER REVIEW</v>
      </c>
    </row>
    <row r="240" spans="1:8">
      <c r="A240" s="2">
        <v>45962</v>
      </c>
      <c r="B240" t="s">
        <v>108</v>
      </c>
      <c r="C240">
        <v>82</v>
      </c>
      <c r="D240">
        <v>0</v>
      </c>
      <c r="E240">
        <v>218</v>
      </c>
      <c r="F240">
        <v>397</v>
      </c>
      <c r="G240">
        <v>113</v>
      </c>
      <c r="H240" t="str">
        <f>IF(C240&lt;=_xlfn.XLOOKUP(B240,Products!A:A,Products!I:I),"REORDER REVIEW","Stock OK")</f>
        <v>REORDER REVIEW</v>
      </c>
    </row>
    <row r="241" spans="1:8">
      <c r="A241" s="2">
        <v>45992</v>
      </c>
      <c r="B241" t="s">
        <v>108</v>
      </c>
      <c r="C241">
        <v>0</v>
      </c>
      <c r="D241">
        <v>50</v>
      </c>
      <c r="E241">
        <v>134</v>
      </c>
      <c r="F241">
        <v>397</v>
      </c>
      <c r="G241">
        <v>113</v>
      </c>
      <c r="H241" t="str">
        <f>IF(C241&lt;=_xlfn.XLOOKUP(B241,Products!A:A,Products!I:I),"REORDER REVIEW","Stock OK")</f>
        <v>REORDER REVIEW</v>
      </c>
    </row>
    <row r="242" spans="1:8">
      <c r="A242" s="2">
        <v>45658</v>
      </c>
      <c r="B242" t="s">
        <v>110</v>
      </c>
      <c r="C242">
        <v>0</v>
      </c>
      <c r="D242">
        <v>100</v>
      </c>
      <c r="E242">
        <v>529</v>
      </c>
      <c r="F242">
        <v>331</v>
      </c>
      <c r="G242">
        <v>115</v>
      </c>
      <c r="H242" t="str">
        <f>IF(C242&lt;=_xlfn.XLOOKUP(B242,Products!A:A,Products!I:I),"REORDER REVIEW","Stock OK")</f>
        <v>REORDER REVIEW</v>
      </c>
    </row>
    <row r="243" spans="1:8">
      <c r="A243" s="2">
        <v>45689</v>
      </c>
      <c r="B243" t="s">
        <v>110</v>
      </c>
      <c r="C243">
        <v>0</v>
      </c>
      <c r="D243">
        <v>200</v>
      </c>
      <c r="E243">
        <v>535</v>
      </c>
      <c r="F243">
        <v>331</v>
      </c>
      <c r="G243">
        <v>115</v>
      </c>
      <c r="H243" t="str">
        <f>IF(C243&lt;=_xlfn.XLOOKUP(B243,Products!A:A,Products!I:I),"REORDER REVIEW","Stock OK")</f>
        <v>REORDER REVIEW</v>
      </c>
    </row>
    <row r="244" spans="1:8">
      <c r="A244" s="2">
        <v>45717</v>
      </c>
      <c r="B244" t="s">
        <v>110</v>
      </c>
      <c r="C244">
        <v>0</v>
      </c>
      <c r="D244">
        <v>0</v>
      </c>
      <c r="E244">
        <v>404</v>
      </c>
      <c r="F244">
        <v>331</v>
      </c>
      <c r="G244">
        <v>115</v>
      </c>
      <c r="H244" t="str">
        <f>IF(C244&lt;=_xlfn.XLOOKUP(B244,Products!A:A,Products!I:I),"REORDER REVIEW","Stock OK")</f>
        <v>REORDER REVIEW</v>
      </c>
    </row>
    <row r="245" spans="1:8">
      <c r="A245" s="2">
        <v>45748</v>
      </c>
      <c r="B245" t="s">
        <v>110</v>
      </c>
      <c r="C245">
        <v>0</v>
      </c>
      <c r="D245">
        <v>50</v>
      </c>
      <c r="E245">
        <v>658</v>
      </c>
      <c r="F245">
        <v>331</v>
      </c>
      <c r="G245">
        <v>115</v>
      </c>
      <c r="H245" t="str">
        <f>IF(C245&lt;=_xlfn.XLOOKUP(B245,Products!A:A,Products!I:I),"REORDER REVIEW","Stock OK")</f>
        <v>REORDER REVIEW</v>
      </c>
    </row>
    <row r="246" spans="1:8">
      <c r="A246" s="2">
        <v>45778</v>
      </c>
      <c r="B246" t="s">
        <v>110</v>
      </c>
      <c r="C246">
        <v>0</v>
      </c>
      <c r="D246">
        <v>50</v>
      </c>
      <c r="E246">
        <v>415</v>
      </c>
      <c r="F246">
        <v>331</v>
      </c>
      <c r="G246">
        <v>115</v>
      </c>
      <c r="H246" t="str">
        <f>IF(C246&lt;=_xlfn.XLOOKUP(B246,Products!A:A,Products!I:I),"REORDER REVIEW","Stock OK")</f>
        <v>REORDER REVIEW</v>
      </c>
    </row>
    <row r="247" spans="1:8">
      <c r="A247" s="2">
        <v>45809</v>
      </c>
      <c r="B247" t="s">
        <v>110</v>
      </c>
      <c r="C247">
        <v>0</v>
      </c>
      <c r="D247">
        <v>0</v>
      </c>
      <c r="E247">
        <v>679</v>
      </c>
      <c r="F247">
        <v>331</v>
      </c>
      <c r="G247">
        <v>115</v>
      </c>
      <c r="H247" t="str">
        <f>IF(C247&lt;=_xlfn.XLOOKUP(B247,Products!A:A,Products!I:I),"REORDER REVIEW","Stock OK")</f>
        <v>REORDER REVIEW</v>
      </c>
    </row>
    <row r="248" spans="1:8">
      <c r="A248" s="2">
        <v>45839</v>
      </c>
      <c r="B248" t="s">
        <v>110</v>
      </c>
      <c r="C248">
        <v>0</v>
      </c>
      <c r="D248">
        <v>50</v>
      </c>
      <c r="E248">
        <v>411</v>
      </c>
      <c r="F248">
        <v>331</v>
      </c>
      <c r="G248">
        <v>115</v>
      </c>
      <c r="H248" t="str">
        <f>IF(C248&lt;=_xlfn.XLOOKUP(B248,Products!A:A,Products!I:I),"REORDER REVIEW","Stock OK")</f>
        <v>REORDER REVIEW</v>
      </c>
    </row>
    <row r="249" spans="1:8">
      <c r="A249" s="2">
        <v>45870</v>
      </c>
      <c r="B249" t="s">
        <v>110</v>
      </c>
      <c r="C249">
        <v>0</v>
      </c>
      <c r="D249">
        <v>100</v>
      </c>
      <c r="E249">
        <v>664</v>
      </c>
      <c r="F249">
        <v>331</v>
      </c>
      <c r="G249">
        <v>115</v>
      </c>
      <c r="H249" t="str">
        <f>IF(C249&lt;=_xlfn.XLOOKUP(B249,Products!A:A,Products!I:I),"REORDER REVIEW","Stock OK")</f>
        <v>REORDER REVIEW</v>
      </c>
    </row>
    <row r="250" spans="1:8">
      <c r="A250" s="2">
        <v>45901</v>
      </c>
      <c r="B250" t="s">
        <v>110</v>
      </c>
      <c r="C250">
        <v>0</v>
      </c>
      <c r="D250">
        <v>100</v>
      </c>
      <c r="E250">
        <v>471</v>
      </c>
      <c r="F250">
        <v>331</v>
      </c>
      <c r="G250">
        <v>115</v>
      </c>
      <c r="H250" t="str">
        <f>IF(C250&lt;=_xlfn.XLOOKUP(B250,Products!A:A,Products!I:I),"REORDER REVIEW","Stock OK")</f>
        <v>REORDER REVIEW</v>
      </c>
    </row>
    <row r="251" spans="1:8">
      <c r="A251" s="2">
        <v>45931</v>
      </c>
      <c r="B251" t="s">
        <v>110</v>
      </c>
      <c r="C251">
        <v>0</v>
      </c>
      <c r="D251">
        <v>200</v>
      </c>
      <c r="E251">
        <v>651</v>
      </c>
      <c r="F251">
        <v>331</v>
      </c>
      <c r="G251">
        <v>115</v>
      </c>
      <c r="H251" t="str">
        <f>IF(C251&lt;=_xlfn.XLOOKUP(B251,Products!A:A,Products!I:I),"REORDER REVIEW","Stock OK")</f>
        <v>REORDER REVIEW</v>
      </c>
    </row>
    <row r="252" spans="1:8">
      <c r="A252" s="2">
        <v>45962</v>
      </c>
      <c r="B252" t="s">
        <v>110</v>
      </c>
      <c r="C252">
        <v>0</v>
      </c>
      <c r="D252">
        <v>50</v>
      </c>
      <c r="E252">
        <v>415</v>
      </c>
      <c r="F252">
        <v>331</v>
      </c>
      <c r="G252">
        <v>115</v>
      </c>
      <c r="H252" t="str">
        <f>IF(C252&lt;=_xlfn.XLOOKUP(B252,Products!A:A,Products!I:I),"REORDER REVIEW","Stock OK")</f>
        <v>REORDER REVIEW</v>
      </c>
    </row>
    <row r="253" spans="1:8">
      <c r="A253" s="2">
        <v>45992</v>
      </c>
      <c r="B253" t="s">
        <v>110</v>
      </c>
      <c r="C253">
        <v>0</v>
      </c>
      <c r="D253">
        <v>0</v>
      </c>
      <c r="E253">
        <v>668</v>
      </c>
      <c r="F253">
        <v>331</v>
      </c>
      <c r="G253">
        <v>115</v>
      </c>
      <c r="H253" t="str">
        <f>IF(C253&lt;=_xlfn.XLOOKUP(B253,Products!A:A,Products!I:I),"REORDER REVIEW","Stock OK")</f>
        <v>REORDER REVIEW</v>
      </c>
    </row>
    <row r="254" spans="1:8">
      <c r="A254" s="2">
        <v>45658</v>
      </c>
      <c r="B254" t="s">
        <v>112</v>
      </c>
      <c r="C254">
        <v>32</v>
      </c>
      <c r="D254">
        <v>50</v>
      </c>
      <c r="E254">
        <v>372</v>
      </c>
      <c r="F254">
        <v>496</v>
      </c>
      <c r="G254">
        <v>156</v>
      </c>
      <c r="H254" t="str">
        <f>IF(C254&lt;=_xlfn.XLOOKUP(B254,Products!A:A,Products!I:I),"REORDER REVIEW","Stock OK")</f>
        <v>REORDER REVIEW</v>
      </c>
    </row>
    <row r="255" spans="1:8">
      <c r="A255" s="2">
        <v>45689</v>
      </c>
      <c r="B255" t="s">
        <v>112</v>
      </c>
      <c r="C255">
        <v>176</v>
      </c>
      <c r="D255">
        <v>100</v>
      </c>
      <c r="E255">
        <v>156</v>
      </c>
      <c r="F255">
        <v>496</v>
      </c>
      <c r="G255">
        <v>156</v>
      </c>
      <c r="H255" t="str">
        <f>IF(C255&lt;=_xlfn.XLOOKUP(B255,Products!A:A,Products!I:I),"REORDER REVIEW","Stock OK")</f>
        <v>REORDER REVIEW</v>
      </c>
    </row>
    <row r="256" spans="1:8">
      <c r="A256" s="2">
        <v>45717</v>
      </c>
      <c r="B256" t="s">
        <v>112</v>
      </c>
      <c r="C256">
        <v>0</v>
      </c>
      <c r="D256">
        <v>0</v>
      </c>
      <c r="E256">
        <v>294</v>
      </c>
      <c r="F256">
        <v>496</v>
      </c>
      <c r="G256">
        <v>156</v>
      </c>
      <c r="H256" t="str">
        <f>IF(C256&lt;=_xlfn.XLOOKUP(B256,Products!A:A,Products!I:I),"REORDER REVIEW","Stock OK")</f>
        <v>REORDER REVIEW</v>
      </c>
    </row>
    <row r="257" spans="1:8">
      <c r="A257" s="2">
        <v>45748</v>
      </c>
      <c r="B257" t="s">
        <v>112</v>
      </c>
      <c r="C257">
        <v>0</v>
      </c>
      <c r="D257">
        <v>0</v>
      </c>
      <c r="E257">
        <v>269</v>
      </c>
      <c r="F257">
        <v>496</v>
      </c>
      <c r="G257">
        <v>156</v>
      </c>
      <c r="H257" t="str">
        <f>IF(C257&lt;=_xlfn.XLOOKUP(B257,Products!A:A,Products!I:I),"REORDER REVIEW","Stock OK")</f>
        <v>REORDER REVIEW</v>
      </c>
    </row>
    <row r="258" spans="1:8">
      <c r="A258" s="2">
        <v>45778</v>
      </c>
      <c r="B258" t="s">
        <v>112</v>
      </c>
      <c r="C258">
        <v>0</v>
      </c>
      <c r="D258">
        <v>200</v>
      </c>
      <c r="E258">
        <v>535</v>
      </c>
      <c r="F258">
        <v>496</v>
      </c>
      <c r="G258">
        <v>156</v>
      </c>
      <c r="H258" t="str">
        <f>IF(C258&lt;=_xlfn.XLOOKUP(B258,Products!A:A,Products!I:I),"REORDER REVIEW","Stock OK")</f>
        <v>REORDER REVIEW</v>
      </c>
    </row>
    <row r="259" spans="1:8">
      <c r="A259" s="2">
        <v>45809</v>
      </c>
      <c r="B259" t="s">
        <v>112</v>
      </c>
      <c r="C259">
        <v>0</v>
      </c>
      <c r="D259">
        <v>50</v>
      </c>
      <c r="E259">
        <v>379</v>
      </c>
      <c r="F259">
        <v>496</v>
      </c>
      <c r="G259">
        <v>156</v>
      </c>
      <c r="H259" t="str">
        <f>IF(C259&lt;=_xlfn.XLOOKUP(B259,Products!A:A,Products!I:I),"REORDER REVIEW","Stock OK")</f>
        <v>REORDER REVIEW</v>
      </c>
    </row>
    <row r="260" spans="1:8">
      <c r="A260" s="2">
        <v>45839</v>
      </c>
      <c r="B260" t="s">
        <v>112</v>
      </c>
      <c r="C260">
        <v>0</v>
      </c>
      <c r="D260">
        <v>100</v>
      </c>
      <c r="E260">
        <v>433</v>
      </c>
      <c r="F260">
        <v>496</v>
      </c>
      <c r="G260">
        <v>156</v>
      </c>
      <c r="H260" t="str">
        <f>IF(C260&lt;=_xlfn.XLOOKUP(B260,Products!A:A,Products!I:I),"REORDER REVIEW","Stock OK")</f>
        <v>REORDER REVIEW</v>
      </c>
    </row>
    <row r="261" spans="1:8">
      <c r="A261" s="2">
        <v>45870</v>
      </c>
      <c r="B261" t="s">
        <v>112</v>
      </c>
      <c r="C261">
        <v>0</v>
      </c>
      <c r="D261">
        <v>0</v>
      </c>
      <c r="E261">
        <v>477</v>
      </c>
      <c r="F261">
        <v>496</v>
      </c>
      <c r="G261">
        <v>156</v>
      </c>
      <c r="H261" t="str">
        <f>IF(C261&lt;=_xlfn.XLOOKUP(B261,Products!A:A,Products!I:I),"REORDER REVIEW","Stock OK")</f>
        <v>REORDER REVIEW</v>
      </c>
    </row>
    <row r="262" spans="1:8">
      <c r="A262" s="2">
        <v>45901</v>
      </c>
      <c r="B262" t="s">
        <v>112</v>
      </c>
      <c r="C262">
        <v>0</v>
      </c>
      <c r="D262">
        <v>0</v>
      </c>
      <c r="E262">
        <v>249</v>
      </c>
      <c r="F262">
        <v>496</v>
      </c>
      <c r="G262">
        <v>156</v>
      </c>
      <c r="H262" t="str">
        <f>IF(C262&lt;=_xlfn.XLOOKUP(B262,Products!A:A,Products!I:I),"REORDER REVIEW","Stock OK")</f>
        <v>REORDER REVIEW</v>
      </c>
    </row>
    <row r="263" spans="1:8">
      <c r="A263" s="2">
        <v>45931</v>
      </c>
      <c r="B263" t="s">
        <v>112</v>
      </c>
      <c r="C263">
        <v>0</v>
      </c>
      <c r="D263">
        <v>200</v>
      </c>
      <c r="E263">
        <v>278</v>
      </c>
      <c r="F263">
        <v>496</v>
      </c>
      <c r="G263">
        <v>156</v>
      </c>
      <c r="H263" t="str">
        <f>IF(C263&lt;=_xlfn.XLOOKUP(B263,Products!A:A,Products!I:I),"REORDER REVIEW","Stock OK")</f>
        <v>REORDER REVIEW</v>
      </c>
    </row>
    <row r="264" spans="1:8">
      <c r="A264" s="2">
        <v>45962</v>
      </c>
      <c r="B264" t="s">
        <v>112</v>
      </c>
      <c r="C264">
        <v>0</v>
      </c>
      <c r="D264">
        <v>200</v>
      </c>
      <c r="E264">
        <v>486</v>
      </c>
      <c r="F264">
        <v>496</v>
      </c>
      <c r="G264">
        <v>156</v>
      </c>
      <c r="H264" t="str">
        <f>IF(C264&lt;=_xlfn.XLOOKUP(B264,Products!A:A,Products!I:I),"REORDER REVIEW","Stock OK")</f>
        <v>REORDER REVIEW</v>
      </c>
    </row>
    <row r="265" spans="1:8">
      <c r="A265" s="2">
        <v>45992</v>
      </c>
      <c r="B265" t="s">
        <v>112</v>
      </c>
      <c r="C265">
        <v>0</v>
      </c>
      <c r="D265">
        <v>200</v>
      </c>
      <c r="E265">
        <v>318</v>
      </c>
      <c r="F265">
        <v>496</v>
      </c>
      <c r="G265">
        <v>156</v>
      </c>
      <c r="H265" t="str">
        <f>IF(C265&lt;=_xlfn.XLOOKUP(B265,Products!A:A,Products!I:I),"REORDER REVIEW","Stock OK")</f>
        <v>REORDER REVIEW</v>
      </c>
    </row>
    <row r="266" spans="1:8">
      <c r="A266" s="2">
        <v>45658</v>
      </c>
      <c r="B266" t="s">
        <v>114</v>
      </c>
      <c r="C266">
        <v>508</v>
      </c>
      <c r="D266">
        <v>0</v>
      </c>
      <c r="E266">
        <v>39</v>
      </c>
      <c r="F266">
        <v>78</v>
      </c>
      <c r="G266">
        <v>56</v>
      </c>
      <c r="H266" t="str">
        <f>IF(C266&lt;=_xlfn.XLOOKUP(B266,Products!A:A,Products!I:I),"REORDER REVIEW","Stock OK")</f>
        <v>Stock OK</v>
      </c>
    </row>
    <row r="267" spans="1:8">
      <c r="A267" s="2">
        <v>45689</v>
      </c>
      <c r="B267" t="s">
        <v>114</v>
      </c>
      <c r="C267">
        <v>412</v>
      </c>
      <c r="D267">
        <v>200</v>
      </c>
      <c r="E267">
        <v>96</v>
      </c>
      <c r="F267">
        <v>78</v>
      </c>
      <c r="G267">
        <v>56</v>
      </c>
      <c r="H267" t="str">
        <f>IF(C267&lt;=_xlfn.XLOOKUP(B267,Products!A:A,Products!I:I),"REORDER REVIEW","Stock OK")</f>
        <v>Stock OK</v>
      </c>
    </row>
    <row r="268" spans="1:8">
      <c r="A268" s="2">
        <v>45717</v>
      </c>
      <c r="B268" t="s">
        <v>114</v>
      </c>
      <c r="C268">
        <v>355</v>
      </c>
      <c r="D268">
        <v>200</v>
      </c>
      <c r="E268">
        <v>57</v>
      </c>
      <c r="F268">
        <v>78</v>
      </c>
      <c r="G268">
        <v>56</v>
      </c>
      <c r="H268" t="str">
        <f>IF(C268&lt;=_xlfn.XLOOKUP(B268,Products!A:A,Products!I:I),"REORDER REVIEW","Stock OK")</f>
        <v>Stock OK</v>
      </c>
    </row>
    <row r="269" spans="1:8">
      <c r="A269" s="2">
        <v>45748</v>
      </c>
      <c r="B269" t="s">
        <v>114</v>
      </c>
      <c r="C269">
        <v>268</v>
      </c>
      <c r="D269">
        <v>0</v>
      </c>
      <c r="E269">
        <v>87</v>
      </c>
      <c r="F269">
        <v>78</v>
      </c>
      <c r="G269">
        <v>56</v>
      </c>
      <c r="H269" t="str">
        <f>IF(C269&lt;=_xlfn.XLOOKUP(B269,Products!A:A,Products!I:I),"REORDER REVIEW","Stock OK")</f>
        <v>Stock OK</v>
      </c>
    </row>
    <row r="270" spans="1:8">
      <c r="A270" s="2">
        <v>45778</v>
      </c>
      <c r="B270" t="s">
        <v>114</v>
      </c>
      <c r="C270">
        <v>512</v>
      </c>
      <c r="D270">
        <v>0</v>
      </c>
      <c r="E270">
        <v>56</v>
      </c>
      <c r="F270">
        <v>78</v>
      </c>
      <c r="G270">
        <v>56</v>
      </c>
      <c r="H270" t="str">
        <f>IF(C270&lt;=_xlfn.XLOOKUP(B270,Products!A:A,Products!I:I),"REORDER REVIEW","Stock OK")</f>
        <v>Stock OK</v>
      </c>
    </row>
    <row r="271" spans="1:8">
      <c r="A271" s="2">
        <v>45809</v>
      </c>
      <c r="B271" t="s">
        <v>114</v>
      </c>
      <c r="C271">
        <v>787</v>
      </c>
      <c r="D271">
        <v>0</v>
      </c>
      <c r="E271">
        <v>25</v>
      </c>
      <c r="F271">
        <v>78</v>
      </c>
      <c r="G271">
        <v>56</v>
      </c>
      <c r="H271" t="str">
        <f>IF(C271&lt;=_xlfn.XLOOKUP(B271,Products!A:A,Products!I:I),"REORDER REVIEW","Stock OK")</f>
        <v>Stock OK</v>
      </c>
    </row>
    <row r="272" spans="1:8">
      <c r="A272" s="2">
        <v>45839</v>
      </c>
      <c r="B272" t="s">
        <v>114</v>
      </c>
      <c r="C272">
        <v>911</v>
      </c>
      <c r="D272">
        <v>100</v>
      </c>
      <c r="E272">
        <v>76</v>
      </c>
      <c r="F272">
        <v>78</v>
      </c>
      <c r="G272">
        <v>56</v>
      </c>
      <c r="H272" t="str">
        <f>IF(C272&lt;=_xlfn.XLOOKUP(B272,Products!A:A,Products!I:I),"REORDER REVIEW","Stock OK")</f>
        <v>Stock OK</v>
      </c>
    </row>
    <row r="273" spans="1:8">
      <c r="A273" s="2">
        <v>45870</v>
      </c>
      <c r="B273" t="s">
        <v>114</v>
      </c>
      <c r="C273">
        <v>1063</v>
      </c>
      <c r="D273">
        <v>0</v>
      </c>
      <c r="E273">
        <v>48</v>
      </c>
      <c r="F273">
        <v>78</v>
      </c>
      <c r="G273">
        <v>56</v>
      </c>
      <c r="H273" t="str">
        <f>IF(C273&lt;=_xlfn.XLOOKUP(B273,Products!A:A,Products!I:I),"REORDER REVIEW","Stock OK")</f>
        <v>Stock OK</v>
      </c>
    </row>
    <row r="274" spans="1:8">
      <c r="A274" s="2">
        <v>45901</v>
      </c>
      <c r="B274" t="s">
        <v>114</v>
      </c>
      <c r="C274">
        <v>1184</v>
      </c>
      <c r="D274">
        <v>100</v>
      </c>
      <c r="E274">
        <v>79</v>
      </c>
      <c r="F274">
        <v>78</v>
      </c>
      <c r="G274">
        <v>56</v>
      </c>
      <c r="H274" t="str">
        <f>IF(C274&lt;=_xlfn.XLOOKUP(B274,Products!A:A,Products!I:I),"REORDER REVIEW","Stock OK")</f>
        <v>Stock OK</v>
      </c>
    </row>
    <row r="275" spans="1:8">
      <c r="A275" s="2">
        <v>45931</v>
      </c>
      <c r="B275" t="s">
        <v>114</v>
      </c>
      <c r="C275">
        <v>1109</v>
      </c>
      <c r="D275">
        <v>0</v>
      </c>
      <c r="E275">
        <v>75</v>
      </c>
      <c r="F275">
        <v>78</v>
      </c>
      <c r="G275">
        <v>56</v>
      </c>
      <c r="H275" t="str">
        <f>IF(C275&lt;=_xlfn.XLOOKUP(B275,Products!A:A,Products!I:I),"REORDER REVIEW","Stock OK")</f>
        <v>Stock OK</v>
      </c>
    </row>
    <row r="276" spans="1:8">
      <c r="A276" s="2">
        <v>45962</v>
      </c>
      <c r="B276" t="s">
        <v>114</v>
      </c>
      <c r="C276">
        <v>1062</v>
      </c>
      <c r="D276">
        <v>50</v>
      </c>
      <c r="E276">
        <v>47</v>
      </c>
      <c r="F276">
        <v>78</v>
      </c>
      <c r="G276">
        <v>56</v>
      </c>
      <c r="H276" t="str">
        <f>IF(C276&lt;=_xlfn.XLOOKUP(B276,Products!A:A,Products!I:I),"REORDER REVIEW","Stock OK")</f>
        <v>Stock OK</v>
      </c>
    </row>
    <row r="277" spans="1:8">
      <c r="A277" s="2">
        <v>45992</v>
      </c>
      <c r="B277" t="s">
        <v>114</v>
      </c>
      <c r="C277">
        <v>1331</v>
      </c>
      <c r="D277">
        <v>0</v>
      </c>
      <c r="E277">
        <v>31</v>
      </c>
      <c r="F277">
        <v>78</v>
      </c>
      <c r="G277">
        <v>56</v>
      </c>
      <c r="H277" t="str">
        <f>IF(C277&lt;=_xlfn.XLOOKUP(B277,Products!A:A,Products!I:I),"REORDER REVIEW","Stock OK")</f>
        <v>Stock OK</v>
      </c>
    </row>
    <row r="278" spans="1:8">
      <c r="A278" s="2">
        <v>45658</v>
      </c>
      <c r="B278" t="s">
        <v>116</v>
      </c>
      <c r="C278">
        <v>487</v>
      </c>
      <c r="D278">
        <v>0</v>
      </c>
      <c r="E278">
        <v>162</v>
      </c>
      <c r="F278">
        <v>94</v>
      </c>
      <c r="G278">
        <v>66</v>
      </c>
      <c r="H278" t="str">
        <f>IF(C278&lt;=_xlfn.XLOOKUP(B278,Products!A:A,Products!I:I),"REORDER REVIEW","Stock OK")</f>
        <v>Stock OK</v>
      </c>
    </row>
    <row r="279" spans="1:8">
      <c r="A279" s="2">
        <v>45689</v>
      </c>
      <c r="B279" t="s">
        <v>116</v>
      </c>
      <c r="C279">
        <v>299</v>
      </c>
      <c r="D279">
        <v>100</v>
      </c>
      <c r="E279">
        <v>188</v>
      </c>
      <c r="F279">
        <v>94</v>
      </c>
      <c r="G279">
        <v>66</v>
      </c>
      <c r="H279" t="str">
        <f>IF(C279&lt;=_xlfn.XLOOKUP(B279,Products!A:A,Products!I:I),"REORDER REVIEW","Stock OK")</f>
        <v>Stock OK</v>
      </c>
    </row>
    <row r="280" spans="1:8">
      <c r="A280" s="2">
        <v>45717</v>
      </c>
      <c r="B280" t="s">
        <v>116</v>
      </c>
      <c r="C280">
        <v>510</v>
      </c>
      <c r="D280">
        <v>50</v>
      </c>
      <c r="E280">
        <v>89</v>
      </c>
      <c r="F280">
        <v>94</v>
      </c>
      <c r="G280">
        <v>66</v>
      </c>
      <c r="H280" t="str">
        <f>IF(C280&lt;=_xlfn.XLOOKUP(B280,Products!A:A,Products!I:I),"REORDER REVIEW","Stock OK")</f>
        <v>Stock OK</v>
      </c>
    </row>
    <row r="281" spans="1:8">
      <c r="A281" s="2">
        <v>45748</v>
      </c>
      <c r="B281" t="s">
        <v>116</v>
      </c>
      <c r="C281">
        <v>707</v>
      </c>
      <c r="D281">
        <v>100</v>
      </c>
      <c r="E281">
        <v>103</v>
      </c>
      <c r="F281">
        <v>94</v>
      </c>
      <c r="G281">
        <v>66</v>
      </c>
      <c r="H281" t="str">
        <f>IF(C281&lt;=_xlfn.XLOOKUP(B281,Products!A:A,Products!I:I),"REORDER REVIEW","Stock OK")</f>
        <v>Stock OK</v>
      </c>
    </row>
    <row r="282" spans="1:8">
      <c r="A282" s="2">
        <v>45778</v>
      </c>
      <c r="B282" t="s">
        <v>116</v>
      </c>
      <c r="C282">
        <v>576</v>
      </c>
      <c r="D282">
        <v>0</v>
      </c>
      <c r="E282">
        <v>131</v>
      </c>
      <c r="F282">
        <v>94</v>
      </c>
      <c r="G282">
        <v>66</v>
      </c>
      <c r="H282" t="str">
        <f>IF(C282&lt;=_xlfn.XLOOKUP(B282,Products!A:A,Products!I:I),"REORDER REVIEW","Stock OK")</f>
        <v>Stock OK</v>
      </c>
    </row>
    <row r="283" spans="1:8">
      <c r="A283" s="2">
        <v>45809</v>
      </c>
      <c r="B283" t="s">
        <v>116</v>
      </c>
      <c r="C283">
        <v>753</v>
      </c>
      <c r="D283">
        <v>0</v>
      </c>
      <c r="E283">
        <v>123</v>
      </c>
      <c r="F283">
        <v>94</v>
      </c>
      <c r="G283">
        <v>66</v>
      </c>
      <c r="H283" t="str">
        <f>IF(C283&lt;=_xlfn.XLOOKUP(B283,Products!A:A,Products!I:I),"REORDER REVIEW","Stock OK")</f>
        <v>Stock OK</v>
      </c>
    </row>
    <row r="284" spans="1:8">
      <c r="A284" s="2">
        <v>45839</v>
      </c>
      <c r="B284" t="s">
        <v>116</v>
      </c>
      <c r="C284">
        <v>563</v>
      </c>
      <c r="D284">
        <v>0</v>
      </c>
      <c r="E284">
        <v>190</v>
      </c>
      <c r="F284">
        <v>94</v>
      </c>
      <c r="G284">
        <v>66</v>
      </c>
      <c r="H284" t="str">
        <f>IF(C284&lt;=_xlfn.XLOOKUP(B284,Products!A:A,Products!I:I),"REORDER REVIEW","Stock OK")</f>
        <v>Stock OK</v>
      </c>
    </row>
    <row r="285" spans="1:8">
      <c r="A285" s="2">
        <v>45870</v>
      </c>
      <c r="B285" t="s">
        <v>116</v>
      </c>
      <c r="C285">
        <v>627</v>
      </c>
      <c r="D285">
        <v>0</v>
      </c>
      <c r="E285">
        <v>136</v>
      </c>
      <c r="F285">
        <v>94</v>
      </c>
      <c r="G285">
        <v>66</v>
      </c>
      <c r="H285" t="str">
        <f>IF(C285&lt;=_xlfn.XLOOKUP(B285,Products!A:A,Products!I:I),"REORDER REVIEW","Stock OK")</f>
        <v>Stock OK</v>
      </c>
    </row>
    <row r="286" spans="1:8">
      <c r="A286" s="2">
        <v>45901</v>
      </c>
      <c r="B286" t="s">
        <v>116</v>
      </c>
      <c r="C286">
        <v>486</v>
      </c>
      <c r="D286">
        <v>0</v>
      </c>
      <c r="E286">
        <v>141</v>
      </c>
      <c r="F286">
        <v>94</v>
      </c>
      <c r="G286">
        <v>66</v>
      </c>
      <c r="H286" t="str">
        <f>IF(C286&lt;=_xlfn.XLOOKUP(B286,Products!A:A,Products!I:I),"REORDER REVIEW","Stock OK")</f>
        <v>Stock OK</v>
      </c>
    </row>
    <row r="287" spans="1:8">
      <c r="A287" s="2">
        <v>45931</v>
      </c>
      <c r="B287" t="s">
        <v>116</v>
      </c>
      <c r="C287">
        <v>636</v>
      </c>
      <c r="D287">
        <v>200</v>
      </c>
      <c r="E287">
        <v>50</v>
      </c>
      <c r="F287">
        <v>94</v>
      </c>
      <c r="G287">
        <v>66</v>
      </c>
      <c r="H287" t="str">
        <f>IF(C287&lt;=_xlfn.XLOOKUP(B287,Products!A:A,Products!I:I),"REORDER REVIEW","Stock OK")</f>
        <v>Stock OK</v>
      </c>
    </row>
    <row r="288" spans="1:8">
      <c r="A288" s="2">
        <v>45962</v>
      </c>
      <c r="B288" t="s">
        <v>116</v>
      </c>
      <c r="C288">
        <v>716</v>
      </c>
      <c r="D288">
        <v>200</v>
      </c>
      <c r="E288">
        <v>120</v>
      </c>
      <c r="F288">
        <v>94</v>
      </c>
      <c r="G288">
        <v>66</v>
      </c>
      <c r="H288" t="str">
        <f>IF(C288&lt;=_xlfn.XLOOKUP(B288,Products!A:A,Products!I:I),"REORDER REVIEW","Stock OK")</f>
        <v>Stock OK</v>
      </c>
    </row>
    <row r="289" spans="1:8">
      <c r="A289" s="2">
        <v>45992</v>
      </c>
      <c r="B289" t="s">
        <v>116</v>
      </c>
      <c r="C289">
        <v>524</v>
      </c>
      <c r="D289">
        <v>0</v>
      </c>
      <c r="E289">
        <v>192</v>
      </c>
      <c r="F289">
        <v>94</v>
      </c>
      <c r="G289">
        <v>66</v>
      </c>
      <c r="H289" t="str">
        <f>IF(C289&lt;=_xlfn.XLOOKUP(B289,Products!A:A,Products!I:I),"REORDER REVIEW","Stock OK")</f>
        <v>Stock OK</v>
      </c>
    </row>
    <row r="290" spans="1:8">
      <c r="A290" s="2">
        <v>45658</v>
      </c>
      <c r="B290" t="s">
        <v>118</v>
      </c>
      <c r="C290">
        <v>0</v>
      </c>
      <c r="D290">
        <v>0</v>
      </c>
      <c r="E290">
        <v>213</v>
      </c>
      <c r="F290">
        <v>345</v>
      </c>
      <c r="G290">
        <v>165</v>
      </c>
      <c r="H290" t="str">
        <f>IF(C290&lt;=_xlfn.XLOOKUP(B290,Products!A:A,Products!I:I),"REORDER REVIEW","Stock OK")</f>
        <v>REORDER REVIEW</v>
      </c>
    </row>
    <row r="291" spans="1:8">
      <c r="A291" s="2">
        <v>45689</v>
      </c>
      <c r="B291" t="s">
        <v>118</v>
      </c>
      <c r="C291">
        <v>0</v>
      </c>
      <c r="D291">
        <v>200</v>
      </c>
      <c r="E291">
        <v>171</v>
      </c>
      <c r="F291">
        <v>345</v>
      </c>
      <c r="G291">
        <v>165</v>
      </c>
      <c r="H291" t="str">
        <f>IF(C291&lt;=_xlfn.XLOOKUP(B291,Products!A:A,Products!I:I),"REORDER REVIEW","Stock OK")</f>
        <v>REORDER REVIEW</v>
      </c>
    </row>
    <row r="292" spans="1:8">
      <c r="A292" s="2">
        <v>45717</v>
      </c>
      <c r="B292" t="s">
        <v>118</v>
      </c>
      <c r="C292">
        <v>0</v>
      </c>
      <c r="D292">
        <v>0</v>
      </c>
      <c r="E292">
        <v>228</v>
      </c>
      <c r="F292">
        <v>345</v>
      </c>
      <c r="G292">
        <v>165</v>
      </c>
      <c r="H292" t="str">
        <f>IF(C292&lt;=_xlfn.XLOOKUP(B292,Products!A:A,Products!I:I),"REORDER REVIEW","Stock OK")</f>
        <v>REORDER REVIEW</v>
      </c>
    </row>
    <row r="293" spans="1:8">
      <c r="A293" s="2">
        <v>45748</v>
      </c>
      <c r="B293" t="s">
        <v>118</v>
      </c>
      <c r="C293">
        <v>0</v>
      </c>
      <c r="D293">
        <v>200</v>
      </c>
      <c r="E293">
        <v>275</v>
      </c>
      <c r="F293">
        <v>345</v>
      </c>
      <c r="G293">
        <v>165</v>
      </c>
      <c r="H293" t="str">
        <f>IF(C293&lt;=_xlfn.XLOOKUP(B293,Products!A:A,Products!I:I),"REORDER REVIEW","Stock OK")</f>
        <v>REORDER REVIEW</v>
      </c>
    </row>
    <row r="294" spans="1:8">
      <c r="A294" s="2">
        <v>45778</v>
      </c>
      <c r="B294" t="s">
        <v>118</v>
      </c>
      <c r="C294">
        <v>0</v>
      </c>
      <c r="D294">
        <v>0</v>
      </c>
      <c r="E294">
        <v>251</v>
      </c>
      <c r="F294">
        <v>345</v>
      </c>
      <c r="G294">
        <v>165</v>
      </c>
      <c r="H294" t="str">
        <f>IF(C294&lt;=_xlfn.XLOOKUP(B294,Products!A:A,Products!I:I),"REORDER REVIEW","Stock OK")</f>
        <v>REORDER REVIEW</v>
      </c>
    </row>
    <row r="295" spans="1:8">
      <c r="A295" s="2">
        <v>45809</v>
      </c>
      <c r="B295" t="s">
        <v>118</v>
      </c>
      <c r="C295">
        <v>0</v>
      </c>
      <c r="D295">
        <v>0</v>
      </c>
      <c r="E295">
        <v>183</v>
      </c>
      <c r="F295">
        <v>345</v>
      </c>
      <c r="G295">
        <v>165</v>
      </c>
      <c r="H295" t="str">
        <f>IF(C295&lt;=_xlfn.XLOOKUP(B295,Products!A:A,Products!I:I),"REORDER REVIEW","Stock OK")</f>
        <v>REORDER REVIEW</v>
      </c>
    </row>
    <row r="296" spans="1:8">
      <c r="A296" s="2">
        <v>45839</v>
      </c>
      <c r="B296" t="s">
        <v>118</v>
      </c>
      <c r="C296">
        <v>0</v>
      </c>
      <c r="D296">
        <v>200</v>
      </c>
      <c r="E296">
        <v>250</v>
      </c>
      <c r="F296">
        <v>345</v>
      </c>
      <c r="G296">
        <v>165</v>
      </c>
      <c r="H296" t="str">
        <f>IF(C296&lt;=_xlfn.XLOOKUP(B296,Products!A:A,Products!I:I),"REORDER REVIEW","Stock OK")</f>
        <v>REORDER REVIEW</v>
      </c>
    </row>
    <row r="297" spans="1:8">
      <c r="A297" s="2">
        <v>45870</v>
      </c>
      <c r="B297" t="s">
        <v>118</v>
      </c>
      <c r="C297">
        <v>0</v>
      </c>
      <c r="D297">
        <v>0</v>
      </c>
      <c r="E297">
        <v>259</v>
      </c>
      <c r="F297">
        <v>345</v>
      </c>
      <c r="G297">
        <v>165</v>
      </c>
      <c r="H297" t="str">
        <f>IF(C297&lt;=_xlfn.XLOOKUP(B297,Products!A:A,Products!I:I),"REORDER REVIEW","Stock OK")</f>
        <v>REORDER REVIEW</v>
      </c>
    </row>
    <row r="298" spans="1:8">
      <c r="A298" s="2">
        <v>45901</v>
      </c>
      <c r="B298" t="s">
        <v>118</v>
      </c>
      <c r="C298">
        <v>0</v>
      </c>
      <c r="D298">
        <v>200</v>
      </c>
      <c r="E298">
        <v>73</v>
      </c>
      <c r="F298">
        <v>345</v>
      </c>
      <c r="G298">
        <v>165</v>
      </c>
      <c r="H298" t="str">
        <f>IF(C298&lt;=_xlfn.XLOOKUP(B298,Products!A:A,Products!I:I),"REORDER REVIEW","Stock OK")</f>
        <v>REORDER REVIEW</v>
      </c>
    </row>
    <row r="299" spans="1:8">
      <c r="A299" s="2">
        <v>45931</v>
      </c>
      <c r="B299" t="s">
        <v>118</v>
      </c>
      <c r="C299">
        <v>0</v>
      </c>
      <c r="D299">
        <v>50</v>
      </c>
      <c r="E299">
        <v>185</v>
      </c>
      <c r="F299">
        <v>345</v>
      </c>
      <c r="G299">
        <v>165</v>
      </c>
      <c r="H299" t="str">
        <f>IF(C299&lt;=_xlfn.XLOOKUP(B299,Products!A:A,Products!I:I),"REORDER REVIEW","Stock OK")</f>
        <v>REORDER REVIEW</v>
      </c>
    </row>
    <row r="300" spans="1:8">
      <c r="A300" s="2">
        <v>45962</v>
      </c>
      <c r="B300" t="s">
        <v>118</v>
      </c>
      <c r="C300">
        <v>151</v>
      </c>
      <c r="D300">
        <v>0</v>
      </c>
      <c r="E300">
        <v>149</v>
      </c>
      <c r="F300">
        <v>345</v>
      </c>
      <c r="G300">
        <v>165</v>
      </c>
      <c r="H300" t="str">
        <f>IF(C300&lt;=_xlfn.XLOOKUP(B300,Products!A:A,Products!I:I),"REORDER REVIEW","Stock OK")</f>
        <v>REORDER REVIEW</v>
      </c>
    </row>
    <row r="301" spans="1:8">
      <c r="A301" s="2">
        <v>45992</v>
      </c>
      <c r="B301" t="s">
        <v>118</v>
      </c>
      <c r="C301">
        <v>0</v>
      </c>
      <c r="D301">
        <v>50</v>
      </c>
      <c r="E301">
        <v>192</v>
      </c>
      <c r="F301">
        <v>345</v>
      </c>
      <c r="G301">
        <v>165</v>
      </c>
      <c r="H301" t="str">
        <f>IF(C301&lt;=_xlfn.XLOOKUP(B301,Products!A:A,Products!I:I),"REORDER REVIEW","Stock OK")</f>
        <v>REORDER REVIEW</v>
      </c>
    </row>
    <row r="302" spans="1:8">
      <c r="A302" s="2">
        <v>45658</v>
      </c>
      <c r="B302" t="s">
        <v>120</v>
      </c>
      <c r="C302">
        <v>90</v>
      </c>
      <c r="D302">
        <v>100</v>
      </c>
      <c r="E302">
        <v>293</v>
      </c>
      <c r="F302">
        <v>344</v>
      </c>
      <c r="G302">
        <v>50</v>
      </c>
      <c r="H302" t="str">
        <f>IF(C302&lt;=_xlfn.XLOOKUP(B302,Products!A:A,Products!I:I),"REORDER REVIEW","Stock OK")</f>
        <v>REORDER REVIEW</v>
      </c>
    </row>
    <row r="303" spans="1:8">
      <c r="A303" s="2">
        <v>45689</v>
      </c>
      <c r="B303" t="s">
        <v>120</v>
      </c>
      <c r="C303">
        <v>0</v>
      </c>
      <c r="D303">
        <v>100</v>
      </c>
      <c r="E303">
        <v>410</v>
      </c>
      <c r="F303">
        <v>344</v>
      </c>
      <c r="G303">
        <v>50</v>
      </c>
      <c r="H303" t="str">
        <f>IF(C303&lt;=_xlfn.XLOOKUP(B303,Products!A:A,Products!I:I),"REORDER REVIEW","Stock OK")</f>
        <v>REORDER REVIEW</v>
      </c>
    </row>
    <row r="304" spans="1:8">
      <c r="A304" s="2">
        <v>45717</v>
      </c>
      <c r="B304" t="s">
        <v>120</v>
      </c>
      <c r="C304">
        <v>0</v>
      </c>
      <c r="D304">
        <v>200</v>
      </c>
      <c r="E304">
        <v>261</v>
      </c>
      <c r="F304">
        <v>344</v>
      </c>
      <c r="G304">
        <v>50</v>
      </c>
      <c r="H304" t="str">
        <f>IF(C304&lt;=_xlfn.XLOOKUP(B304,Products!A:A,Products!I:I),"REORDER REVIEW","Stock OK")</f>
        <v>REORDER REVIEW</v>
      </c>
    </row>
    <row r="305" spans="1:8">
      <c r="A305" s="2">
        <v>45748</v>
      </c>
      <c r="B305" t="s">
        <v>120</v>
      </c>
      <c r="C305">
        <v>0</v>
      </c>
      <c r="D305">
        <v>100</v>
      </c>
      <c r="E305">
        <v>340</v>
      </c>
      <c r="F305">
        <v>344</v>
      </c>
      <c r="G305">
        <v>50</v>
      </c>
      <c r="H305" t="str">
        <f>IF(C305&lt;=_xlfn.XLOOKUP(B305,Products!A:A,Products!I:I),"REORDER REVIEW","Stock OK")</f>
        <v>REORDER REVIEW</v>
      </c>
    </row>
    <row r="306" spans="1:8">
      <c r="A306" s="2">
        <v>45778</v>
      </c>
      <c r="B306" t="s">
        <v>120</v>
      </c>
      <c r="C306">
        <v>84</v>
      </c>
      <c r="D306">
        <v>50</v>
      </c>
      <c r="E306">
        <v>216</v>
      </c>
      <c r="F306">
        <v>344</v>
      </c>
      <c r="G306">
        <v>50</v>
      </c>
      <c r="H306" t="str">
        <f>IF(C306&lt;=_xlfn.XLOOKUP(B306,Products!A:A,Products!I:I),"REORDER REVIEW","Stock OK")</f>
        <v>REORDER REVIEW</v>
      </c>
    </row>
    <row r="307" spans="1:8">
      <c r="A307" s="2">
        <v>45809</v>
      </c>
      <c r="B307" t="s">
        <v>120</v>
      </c>
      <c r="C307">
        <v>130</v>
      </c>
      <c r="D307">
        <v>100</v>
      </c>
      <c r="E307">
        <v>254</v>
      </c>
      <c r="F307">
        <v>344</v>
      </c>
      <c r="G307">
        <v>50</v>
      </c>
      <c r="H307" t="str">
        <f>IF(C307&lt;=_xlfn.XLOOKUP(B307,Products!A:A,Products!I:I),"REORDER REVIEW","Stock OK")</f>
        <v>REORDER REVIEW</v>
      </c>
    </row>
    <row r="308" spans="1:8">
      <c r="A308" s="2">
        <v>45839</v>
      </c>
      <c r="B308" t="s">
        <v>120</v>
      </c>
      <c r="C308">
        <v>0</v>
      </c>
      <c r="D308">
        <v>50</v>
      </c>
      <c r="E308">
        <v>489</v>
      </c>
      <c r="F308">
        <v>344</v>
      </c>
      <c r="G308">
        <v>50</v>
      </c>
      <c r="H308" t="str">
        <f>IF(C308&lt;=_xlfn.XLOOKUP(B308,Products!A:A,Products!I:I),"REORDER REVIEW","Stock OK")</f>
        <v>REORDER REVIEW</v>
      </c>
    </row>
    <row r="309" spans="1:8">
      <c r="A309" s="2">
        <v>45870</v>
      </c>
      <c r="B309" t="s">
        <v>120</v>
      </c>
      <c r="C309">
        <v>0</v>
      </c>
      <c r="D309">
        <v>50</v>
      </c>
      <c r="E309">
        <v>292</v>
      </c>
      <c r="F309">
        <v>344</v>
      </c>
      <c r="G309">
        <v>50</v>
      </c>
      <c r="H309" t="str">
        <f>IF(C309&lt;=_xlfn.XLOOKUP(B309,Products!A:A,Products!I:I),"REORDER REVIEW","Stock OK")</f>
        <v>REORDER REVIEW</v>
      </c>
    </row>
    <row r="310" spans="1:8">
      <c r="A310" s="2">
        <v>45901</v>
      </c>
      <c r="B310" t="s">
        <v>120</v>
      </c>
      <c r="C310">
        <v>0</v>
      </c>
      <c r="D310">
        <v>100</v>
      </c>
      <c r="E310">
        <v>350</v>
      </c>
      <c r="F310">
        <v>344</v>
      </c>
      <c r="G310">
        <v>50</v>
      </c>
      <c r="H310" t="str">
        <f>IF(C310&lt;=_xlfn.XLOOKUP(B310,Products!A:A,Products!I:I),"REORDER REVIEW","Stock OK")</f>
        <v>REORDER REVIEW</v>
      </c>
    </row>
    <row r="311" spans="1:8">
      <c r="A311" s="2">
        <v>45931</v>
      </c>
      <c r="B311" t="s">
        <v>120</v>
      </c>
      <c r="C311">
        <v>0</v>
      </c>
      <c r="D311">
        <v>0</v>
      </c>
      <c r="E311">
        <v>349</v>
      </c>
      <c r="F311">
        <v>344</v>
      </c>
      <c r="G311">
        <v>50</v>
      </c>
      <c r="H311" t="str">
        <f>IF(C311&lt;=_xlfn.XLOOKUP(B311,Products!A:A,Products!I:I),"REORDER REVIEW","Stock OK")</f>
        <v>REORDER REVIEW</v>
      </c>
    </row>
    <row r="312" spans="1:8">
      <c r="A312" s="2">
        <v>45962</v>
      </c>
      <c r="B312" t="s">
        <v>120</v>
      </c>
      <c r="C312">
        <v>0</v>
      </c>
      <c r="D312">
        <v>100</v>
      </c>
      <c r="E312">
        <v>345</v>
      </c>
      <c r="F312">
        <v>344</v>
      </c>
      <c r="G312">
        <v>50</v>
      </c>
      <c r="H312" t="str">
        <f>IF(C312&lt;=_xlfn.XLOOKUP(B312,Products!A:A,Products!I:I),"REORDER REVIEW","Stock OK")</f>
        <v>REORDER REVIEW</v>
      </c>
    </row>
    <row r="313" spans="1:8">
      <c r="A313" s="2">
        <v>45992</v>
      </c>
      <c r="B313" t="s">
        <v>120</v>
      </c>
      <c r="C313">
        <v>0</v>
      </c>
      <c r="D313">
        <v>0</v>
      </c>
      <c r="E313">
        <v>465</v>
      </c>
      <c r="F313">
        <v>344</v>
      </c>
      <c r="G313">
        <v>50</v>
      </c>
      <c r="H313" t="str">
        <f>IF(C313&lt;=_xlfn.XLOOKUP(B313,Products!A:A,Products!I:I),"REORDER REVIEW","Stock OK")</f>
        <v>REORDER REVIEW</v>
      </c>
    </row>
    <row r="314" spans="1:8">
      <c r="A314" s="2">
        <v>45658</v>
      </c>
      <c r="B314" t="s">
        <v>122</v>
      </c>
      <c r="C314">
        <v>0</v>
      </c>
      <c r="D314">
        <v>100</v>
      </c>
      <c r="E314">
        <v>379</v>
      </c>
      <c r="F314">
        <v>296</v>
      </c>
      <c r="G314">
        <v>80</v>
      </c>
      <c r="H314" t="str">
        <f>IF(C314&lt;=_xlfn.XLOOKUP(B314,Products!A:A,Products!I:I),"REORDER REVIEW","Stock OK")</f>
        <v>REORDER REVIEW</v>
      </c>
    </row>
    <row r="315" spans="1:8">
      <c r="A315" s="2">
        <v>45689</v>
      </c>
      <c r="B315" t="s">
        <v>122</v>
      </c>
      <c r="C315">
        <v>0</v>
      </c>
      <c r="D315">
        <v>50</v>
      </c>
      <c r="E315">
        <v>387</v>
      </c>
      <c r="F315">
        <v>296</v>
      </c>
      <c r="G315">
        <v>80</v>
      </c>
      <c r="H315" t="str">
        <f>IF(C315&lt;=_xlfn.XLOOKUP(B315,Products!A:A,Products!I:I),"REORDER REVIEW","Stock OK")</f>
        <v>REORDER REVIEW</v>
      </c>
    </row>
    <row r="316" spans="1:8">
      <c r="A316" s="2">
        <v>45717</v>
      </c>
      <c r="B316" t="s">
        <v>122</v>
      </c>
      <c r="C316">
        <v>0</v>
      </c>
      <c r="D316">
        <v>50</v>
      </c>
      <c r="E316">
        <v>413</v>
      </c>
      <c r="F316">
        <v>296</v>
      </c>
      <c r="G316">
        <v>80</v>
      </c>
      <c r="H316" t="str">
        <f>IF(C316&lt;=_xlfn.XLOOKUP(B316,Products!A:A,Products!I:I),"REORDER REVIEW","Stock OK")</f>
        <v>REORDER REVIEW</v>
      </c>
    </row>
    <row r="317" spans="1:8">
      <c r="A317" s="2">
        <v>45748</v>
      </c>
      <c r="B317" t="s">
        <v>122</v>
      </c>
      <c r="C317">
        <v>0</v>
      </c>
      <c r="D317">
        <v>0</v>
      </c>
      <c r="E317">
        <v>456</v>
      </c>
      <c r="F317">
        <v>296</v>
      </c>
      <c r="G317">
        <v>80</v>
      </c>
      <c r="H317" t="str">
        <f>IF(C317&lt;=_xlfn.XLOOKUP(B317,Products!A:A,Products!I:I),"REORDER REVIEW","Stock OK")</f>
        <v>REORDER REVIEW</v>
      </c>
    </row>
    <row r="318" spans="1:8">
      <c r="A318" s="2">
        <v>45778</v>
      </c>
      <c r="B318" t="s">
        <v>122</v>
      </c>
      <c r="C318">
        <v>0</v>
      </c>
      <c r="D318">
        <v>0</v>
      </c>
      <c r="E318">
        <v>205</v>
      </c>
      <c r="F318">
        <v>296</v>
      </c>
      <c r="G318">
        <v>80</v>
      </c>
      <c r="H318" t="str">
        <f>IF(C318&lt;=_xlfn.XLOOKUP(B318,Products!A:A,Products!I:I),"REORDER REVIEW","Stock OK")</f>
        <v>REORDER REVIEW</v>
      </c>
    </row>
    <row r="319" spans="1:8">
      <c r="A319" s="2">
        <v>45809</v>
      </c>
      <c r="B319" t="s">
        <v>122</v>
      </c>
      <c r="C319">
        <v>0</v>
      </c>
      <c r="D319">
        <v>200</v>
      </c>
      <c r="E319">
        <v>161</v>
      </c>
      <c r="F319">
        <v>296</v>
      </c>
      <c r="G319">
        <v>80</v>
      </c>
      <c r="H319" t="str">
        <f>IF(C319&lt;=_xlfn.XLOOKUP(B319,Products!A:A,Products!I:I),"REORDER REVIEW","Stock OK")</f>
        <v>REORDER REVIEW</v>
      </c>
    </row>
    <row r="320" spans="1:8">
      <c r="A320" s="2">
        <v>45839</v>
      </c>
      <c r="B320" t="s">
        <v>122</v>
      </c>
      <c r="C320">
        <v>0</v>
      </c>
      <c r="D320">
        <v>200</v>
      </c>
      <c r="E320">
        <v>386</v>
      </c>
      <c r="F320">
        <v>296</v>
      </c>
      <c r="G320">
        <v>80</v>
      </c>
      <c r="H320" t="str">
        <f>IF(C320&lt;=_xlfn.XLOOKUP(B320,Products!A:A,Products!I:I),"REORDER REVIEW","Stock OK")</f>
        <v>REORDER REVIEW</v>
      </c>
    </row>
    <row r="321" spans="1:8">
      <c r="A321" s="2">
        <v>45870</v>
      </c>
      <c r="B321" t="s">
        <v>122</v>
      </c>
      <c r="C321">
        <v>0</v>
      </c>
      <c r="D321">
        <v>0</v>
      </c>
      <c r="E321">
        <v>342</v>
      </c>
      <c r="F321">
        <v>296</v>
      </c>
      <c r="G321">
        <v>80</v>
      </c>
      <c r="H321" t="str">
        <f>IF(C321&lt;=_xlfn.XLOOKUP(B321,Products!A:A,Products!I:I),"REORDER REVIEW","Stock OK")</f>
        <v>REORDER REVIEW</v>
      </c>
    </row>
    <row r="322" spans="1:8">
      <c r="A322" s="2">
        <v>45901</v>
      </c>
      <c r="B322" t="s">
        <v>122</v>
      </c>
      <c r="C322">
        <v>0</v>
      </c>
      <c r="D322">
        <v>50</v>
      </c>
      <c r="E322">
        <v>242</v>
      </c>
      <c r="F322">
        <v>296</v>
      </c>
      <c r="G322">
        <v>80</v>
      </c>
      <c r="H322" t="str">
        <f>IF(C322&lt;=_xlfn.XLOOKUP(B322,Products!A:A,Products!I:I),"REORDER REVIEW","Stock OK")</f>
        <v>REORDER REVIEW</v>
      </c>
    </row>
    <row r="323" spans="1:8">
      <c r="A323" s="2">
        <v>45931</v>
      </c>
      <c r="B323" t="s">
        <v>122</v>
      </c>
      <c r="C323">
        <v>0</v>
      </c>
      <c r="D323">
        <v>200</v>
      </c>
      <c r="E323">
        <v>153</v>
      </c>
      <c r="F323">
        <v>296</v>
      </c>
      <c r="G323">
        <v>80</v>
      </c>
      <c r="H323" t="str">
        <f>IF(C323&lt;=_xlfn.XLOOKUP(B323,Products!A:A,Products!I:I),"REORDER REVIEW","Stock OK")</f>
        <v>REORDER REVIEW</v>
      </c>
    </row>
    <row r="324" spans="1:8">
      <c r="A324" s="2">
        <v>45962</v>
      </c>
      <c r="B324" t="s">
        <v>122</v>
      </c>
      <c r="C324">
        <v>0</v>
      </c>
      <c r="D324">
        <v>0</v>
      </c>
      <c r="E324">
        <v>278</v>
      </c>
      <c r="F324">
        <v>296</v>
      </c>
      <c r="G324">
        <v>80</v>
      </c>
      <c r="H324" t="str">
        <f>IF(C324&lt;=_xlfn.XLOOKUP(B324,Products!A:A,Products!I:I),"REORDER REVIEW","Stock OK")</f>
        <v>REORDER REVIEW</v>
      </c>
    </row>
    <row r="325" spans="1:8">
      <c r="A325" s="2">
        <v>45992</v>
      </c>
      <c r="B325" t="s">
        <v>122</v>
      </c>
      <c r="C325">
        <v>0</v>
      </c>
      <c r="D325">
        <v>50</v>
      </c>
      <c r="E325">
        <v>181</v>
      </c>
      <c r="F325">
        <v>296</v>
      </c>
      <c r="G325">
        <v>80</v>
      </c>
      <c r="H325" t="str">
        <f>IF(C325&lt;=_xlfn.XLOOKUP(B325,Products!A:A,Products!I:I),"REORDER REVIEW","Stock OK")</f>
        <v>REORDER REVIEW</v>
      </c>
    </row>
    <row r="326" spans="1:8">
      <c r="A326" s="2">
        <v>45658</v>
      </c>
      <c r="B326" t="s">
        <v>124</v>
      </c>
      <c r="C326">
        <v>0</v>
      </c>
      <c r="D326">
        <v>100</v>
      </c>
      <c r="E326">
        <v>445</v>
      </c>
      <c r="F326">
        <v>231</v>
      </c>
      <c r="G326">
        <v>42</v>
      </c>
      <c r="H326" t="str">
        <f>IF(C326&lt;=_xlfn.XLOOKUP(B326,Products!A:A,Products!I:I),"REORDER REVIEW","Stock OK")</f>
        <v>REORDER REVIEW</v>
      </c>
    </row>
    <row r="327" spans="1:8">
      <c r="A327" s="2">
        <v>45689</v>
      </c>
      <c r="B327" t="s">
        <v>124</v>
      </c>
      <c r="C327">
        <v>0</v>
      </c>
      <c r="D327">
        <v>0</v>
      </c>
      <c r="E327">
        <v>391</v>
      </c>
      <c r="F327">
        <v>231</v>
      </c>
      <c r="G327">
        <v>42</v>
      </c>
      <c r="H327" t="str">
        <f>IF(C327&lt;=_xlfn.XLOOKUP(B327,Products!A:A,Products!I:I),"REORDER REVIEW","Stock OK")</f>
        <v>REORDER REVIEW</v>
      </c>
    </row>
    <row r="328" spans="1:8">
      <c r="A328" s="2">
        <v>45717</v>
      </c>
      <c r="B328" t="s">
        <v>124</v>
      </c>
      <c r="C328">
        <v>0</v>
      </c>
      <c r="D328">
        <v>0</v>
      </c>
      <c r="E328">
        <v>320</v>
      </c>
      <c r="F328">
        <v>231</v>
      </c>
      <c r="G328">
        <v>42</v>
      </c>
      <c r="H328" t="str">
        <f>IF(C328&lt;=_xlfn.XLOOKUP(B328,Products!A:A,Products!I:I),"REORDER REVIEW","Stock OK")</f>
        <v>REORDER REVIEW</v>
      </c>
    </row>
    <row r="329" spans="1:8">
      <c r="A329" s="2">
        <v>45748</v>
      </c>
      <c r="B329" t="s">
        <v>124</v>
      </c>
      <c r="C329">
        <v>0</v>
      </c>
      <c r="D329">
        <v>50</v>
      </c>
      <c r="E329">
        <v>269</v>
      </c>
      <c r="F329">
        <v>231</v>
      </c>
      <c r="G329">
        <v>42</v>
      </c>
      <c r="H329" t="str">
        <f>IF(C329&lt;=_xlfn.XLOOKUP(B329,Products!A:A,Products!I:I),"REORDER REVIEW","Stock OK")</f>
        <v>REORDER REVIEW</v>
      </c>
    </row>
    <row r="330" spans="1:8">
      <c r="A330" s="2">
        <v>45778</v>
      </c>
      <c r="B330" t="s">
        <v>124</v>
      </c>
      <c r="C330">
        <v>43</v>
      </c>
      <c r="D330">
        <v>100</v>
      </c>
      <c r="E330">
        <v>157</v>
      </c>
      <c r="F330">
        <v>231</v>
      </c>
      <c r="G330">
        <v>42</v>
      </c>
      <c r="H330" t="str">
        <f>IF(C330&lt;=_xlfn.XLOOKUP(B330,Products!A:A,Products!I:I),"REORDER REVIEW","Stock OK")</f>
        <v>REORDER REVIEW</v>
      </c>
    </row>
    <row r="331" spans="1:8">
      <c r="A331" s="2">
        <v>45809</v>
      </c>
      <c r="B331" t="s">
        <v>124</v>
      </c>
      <c r="C331">
        <v>0</v>
      </c>
      <c r="D331">
        <v>0</v>
      </c>
      <c r="E331">
        <v>365</v>
      </c>
      <c r="F331">
        <v>231</v>
      </c>
      <c r="G331">
        <v>42</v>
      </c>
      <c r="H331" t="str">
        <f>IF(C331&lt;=_xlfn.XLOOKUP(B331,Products!A:A,Products!I:I),"REORDER REVIEW","Stock OK")</f>
        <v>REORDER REVIEW</v>
      </c>
    </row>
    <row r="332" spans="1:8">
      <c r="A332" s="2">
        <v>45839</v>
      </c>
      <c r="B332" t="s">
        <v>124</v>
      </c>
      <c r="C332">
        <v>0</v>
      </c>
      <c r="D332">
        <v>0</v>
      </c>
      <c r="E332">
        <v>348</v>
      </c>
      <c r="F332">
        <v>231</v>
      </c>
      <c r="G332">
        <v>42</v>
      </c>
      <c r="H332" t="str">
        <f>IF(C332&lt;=_xlfn.XLOOKUP(B332,Products!A:A,Products!I:I),"REORDER REVIEW","Stock OK")</f>
        <v>REORDER REVIEW</v>
      </c>
    </row>
    <row r="333" spans="1:8">
      <c r="A333" s="2">
        <v>45870</v>
      </c>
      <c r="B333" t="s">
        <v>124</v>
      </c>
      <c r="C333">
        <v>32</v>
      </c>
      <c r="D333">
        <v>100</v>
      </c>
      <c r="E333">
        <v>168</v>
      </c>
      <c r="F333">
        <v>231</v>
      </c>
      <c r="G333">
        <v>42</v>
      </c>
      <c r="H333" t="str">
        <f>IF(C333&lt;=_xlfn.XLOOKUP(B333,Products!A:A,Products!I:I),"REORDER REVIEW","Stock OK")</f>
        <v>REORDER REVIEW</v>
      </c>
    </row>
    <row r="334" spans="1:8">
      <c r="A334" s="2">
        <v>45901</v>
      </c>
      <c r="B334" t="s">
        <v>124</v>
      </c>
      <c r="C334">
        <v>0</v>
      </c>
      <c r="D334">
        <v>0</v>
      </c>
      <c r="E334">
        <v>303</v>
      </c>
      <c r="F334">
        <v>231</v>
      </c>
      <c r="G334">
        <v>42</v>
      </c>
      <c r="H334" t="str">
        <f>IF(C334&lt;=_xlfn.XLOOKUP(B334,Products!A:A,Products!I:I),"REORDER REVIEW","Stock OK")</f>
        <v>REORDER REVIEW</v>
      </c>
    </row>
    <row r="335" spans="1:8">
      <c r="A335" s="2">
        <v>45931</v>
      </c>
      <c r="B335" t="s">
        <v>124</v>
      </c>
      <c r="C335">
        <v>0</v>
      </c>
      <c r="D335">
        <v>100</v>
      </c>
      <c r="E335">
        <v>272</v>
      </c>
      <c r="F335">
        <v>231</v>
      </c>
      <c r="G335">
        <v>42</v>
      </c>
      <c r="H335" t="str">
        <f>IF(C335&lt;=_xlfn.XLOOKUP(B335,Products!A:A,Products!I:I),"REORDER REVIEW","Stock OK")</f>
        <v>REORDER REVIEW</v>
      </c>
    </row>
    <row r="336" spans="1:8">
      <c r="A336" s="2">
        <v>45962</v>
      </c>
      <c r="B336" t="s">
        <v>124</v>
      </c>
      <c r="C336">
        <v>0</v>
      </c>
      <c r="D336">
        <v>200</v>
      </c>
      <c r="E336">
        <v>191</v>
      </c>
      <c r="F336">
        <v>231</v>
      </c>
      <c r="G336">
        <v>42</v>
      </c>
      <c r="H336" t="str">
        <f>IF(C336&lt;=_xlfn.XLOOKUP(B336,Products!A:A,Products!I:I),"REORDER REVIEW","Stock OK")</f>
        <v>REORDER REVIEW</v>
      </c>
    </row>
    <row r="337" spans="1:8">
      <c r="A337" s="2">
        <v>45992</v>
      </c>
      <c r="B337" t="s">
        <v>124</v>
      </c>
      <c r="C337">
        <v>188</v>
      </c>
      <c r="D337">
        <v>200</v>
      </c>
      <c r="E337">
        <v>112</v>
      </c>
      <c r="F337">
        <v>231</v>
      </c>
      <c r="G337">
        <v>42</v>
      </c>
      <c r="H337" t="str">
        <f>IF(C337&lt;=_xlfn.XLOOKUP(B337,Products!A:A,Products!I:I),"REORDER REVIEW","Stock OK")</f>
        <v>REORDER REVIEW</v>
      </c>
    </row>
    <row r="338" spans="1:8">
      <c r="A338" s="2">
        <v>45658</v>
      </c>
      <c r="B338" t="s">
        <v>126</v>
      </c>
      <c r="C338">
        <v>460</v>
      </c>
      <c r="D338">
        <v>0</v>
      </c>
      <c r="E338">
        <v>244</v>
      </c>
      <c r="F338">
        <v>168</v>
      </c>
      <c r="G338">
        <v>106</v>
      </c>
      <c r="H338" t="str">
        <f>IF(C338&lt;=_xlfn.XLOOKUP(B338,Products!A:A,Products!I:I),"REORDER REVIEW","Stock OK")</f>
        <v>Stock OK</v>
      </c>
    </row>
    <row r="339" spans="1:8">
      <c r="A339" s="2">
        <v>45689</v>
      </c>
      <c r="B339" t="s">
        <v>126</v>
      </c>
      <c r="C339">
        <v>552</v>
      </c>
      <c r="D339">
        <v>50</v>
      </c>
      <c r="E339">
        <v>208</v>
      </c>
      <c r="F339">
        <v>168</v>
      </c>
      <c r="G339">
        <v>106</v>
      </c>
      <c r="H339" t="str">
        <f>IF(C339&lt;=_xlfn.XLOOKUP(B339,Products!A:A,Products!I:I),"REORDER REVIEW","Stock OK")</f>
        <v>Stock OK</v>
      </c>
    </row>
    <row r="340" spans="1:8">
      <c r="A340" s="2">
        <v>45717</v>
      </c>
      <c r="B340" t="s">
        <v>126</v>
      </c>
      <c r="C340">
        <v>466</v>
      </c>
      <c r="D340">
        <v>0</v>
      </c>
      <c r="E340">
        <v>286</v>
      </c>
      <c r="F340">
        <v>168</v>
      </c>
      <c r="G340">
        <v>106</v>
      </c>
      <c r="H340" t="str">
        <f>IF(C340&lt;=_xlfn.XLOOKUP(B340,Products!A:A,Products!I:I),"REORDER REVIEW","Stock OK")</f>
        <v>Stock OK</v>
      </c>
    </row>
    <row r="341" spans="1:8">
      <c r="A341" s="2">
        <v>45748</v>
      </c>
      <c r="B341" t="s">
        <v>126</v>
      </c>
      <c r="C341">
        <v>272</v>
      </c>
      <c r="D341">
        <v>50</v>
      </c>
      <c r="E341">
        <v>194</v>
      </c>
      <c r="F341">
        <v>168</v>
      </c>
      <c r="G341">
        <v>106</v>
      </c>
      <c r="H341" t="str">
        <f>IF(C341&lt;=_xlfn.XLOOKUP(B341,Products!A:A,Products!I:I),"REORDER REVIEW","Stock OK")</f>
        <v>Stock OK</v>
      </c>
    </row>
    <row r="342" spans="1:8">
      <c r="A342" s="2">
        <v>45778</v>
      </c>
      <c r="B342" t="s">
        <v>126</v>
      </c>
      <c r="C342">
        <v>350</v>
      </c>
      <c r="D342">
        <v>50</v>
      </c>
      <c r="E342">
        <v>222</v>
      </c>
      <c r="F342">
        <v>168</v>
      </c>
      <c r="G342">
        <v>106</v>
      </c>
      <c r="H342" t="str">
        <f>IF(C342&lt;=_xlfn.XLOOKUP(B342,Products!A:A,Products!I:I),"REORDER REVIEW","Stock OK")</f>
        <v>Stock OK</v>
      </c>
    </row>
    <row r="343" spans="1:8">
      <c r="A343" s="2">
        <v>45809</v>
      </c>
      <c r="B343" t="s">
        <v>126</v>
      </c>
      <c r="C343">
        <v>211</v>
      </c>
      <c r="D343">
        <v>100</v>
      </c>
      <c r="E343">
        <v>239</v>
      </c>
      <c r="F343">
        <v>168</v>
      </c>
      <c r="G343">
        <v>106</v>
      </c>
      <c r="H343" t="str">
        <f>IF(C343&lt;=_xlfn.XLOOKUP(B343,Products!A:A,Products!I:I),"REORDER REVIEW","Stock OK")</f>
        <v>Stock OK</v>
      </c>
    </row>
    <row r="344" spans="1:8">
      <c r="A344" s="2">
        <v>45839</v>
      </c>
      <c r="B344" t="s">
        <v>126</v>
      </c>
      <c r="C344">
        <v>157</v>
      </c>
      <c r="D344">
        <v>0</v>
      </c>
      <c r="E344">
        <v>254</v>
      </c>
      <c r="F344">
        <v>168</v>
      </c>
      <c r="G344">
        <v>106</v>
      </c>
      <c r="H344" t="str">
        <f>IF(C344&lt;=_xlfn.XLOOKUP(B344,Products!A:A,Products!I:I),"REORDER REVIEW","Stock OK")</f>
        <v>REORDER REVIEW</v>
      </c>
    </row>
    <row r="345" spans="1:8">
      <c r="A345" s="2">
        <v>45870</v>
      </c>
      <c r="B345" t="s">
        <v>126</v>
      </c>
      <c r="C345">
        <v>15</v>
      </c>
      <c r="D345">
        <v>200</v>
      </c>
      <c r="E345">
        <v>142</v>
      </c>
      <c r="F345">
        <v>168</v>
      </c>
      <c r="G345">
        <v>106</v>
      </c>
      <c r="H345" t="str">
        <f>IF(C345&lt;=_xlfn.XLOOKUP(B345,Products!A:A,Products!I:I),"REORDER REVIEW","Stock OK")</f>
        <v>REORDER REVIEW</v>
      </c>
    </row>
    <row r="346" spans="1:8">
      <c r="A346" s="2">
        <v>45901</v>
      </c>
      <c r="B346" t="s">
        <v>126</v>
      </c>
      <c r="C346">
        <v>0</v>
      </c>
      <c r="D346">
        <v>200</v>
      </c>
      <c r="E346">
        <v>327</v>
      </c>
      <c r="F346">
        <v>168</v>
      </c>
      <c r="G346">
        <v>106</v>
      </c>
      <c r="H346" t="str">
        <f>IF(C346&lt;=_xlfn.XLOOKUP(B346,Products!A:A,Products!I:I),"REORDER REVIEW","Stock OK")</f>
        <v>REORDER REVIEW</v>
      </c>
    </row>
    <row r="347" spans="1:8">
      <c r="A347" s="2">
        <v>45931</v>
      </c>
      <c r="B347" t="s">
        <v>126</v>
      </c>
      <c r="C347">
        <v>0</v>
      </c>
      <c r="D347">
        <v>50</v>
      </c>
      <c r="E347">
        <v>122</v>
      </c>
      <c r="F347">
        <v>168</v>
      </c>
      <c r="G347">
        <v>106</v>
      </c>
      <c r="H347" t="str">
        <f>IF(C347&lt;=_xlfn.XLOOKUP(B347,Products!A:A,Products!I:I),"REORDER REVIEW","Stock OK")</f>
        <v>REORDER REVIEW</v>
      </c>
    </row>
    <row r="348" spans="1:8">
      <c r="A348" s="2">
        <v>45962</v>
      </c>
      <c r="B348" t="s">
        <v>126</v>
      </c>
      <c r="C348">
        <v>0</v>
      </c>
      <c r="D348">
        <v>50</v>
      </c>
      <c r="E348">
        <v>186</v>
      </c>
      <c r="F348">
        <v>168</v>
      </c>
      <c r="G348">
        <v>106</v>
      </c>
      <c r="H348" t="str">
        <f>IF(C348&lt;=_xlfn.XLOOKUP(B348,Products!A:A,Products!I:I),"REORDER REVIEW","Stock OK")</f>
        <v>REORDER REVIEW</v>
      </c>
    </row>
    <row r="349" spans="1:8">
      <c r="A349" s="2">
        <v>45992</v>
      </c>
      <c r="B349" t="s">
        <v>126</v>
      </c>
      <c r="C349">
        <v>120</v>
      </c>
      <c r="D349">
        <v>100</v>
      </c>
      <c r="E349">
        <v>180</v>
      </c>
      <c r="F349">
        <v>168</v>
      </c>
      <c r="G349">
        <v>106</v>
      </c>
      <c r="H349" t="str">
        <f>IF(C349&lt;=_xlfn.XLOOKUP(B349,Products!A:A,Products!I:I),"REORDER REVIEW","Stock OK")</f>
        <v>REORDER REVIEW</v>
      </c>
    </row>
    <row r="350" spans="1:8">
      <c r="A350" s="2">
        <v>45658</v>
      </c>
      <c r="B350" t="s">
        <v>128</v>
      </c>
      <c r="C350">
        <v>0</v>
      </c>
      <c r="D350">
        <v>0</v>
      </c>
      <c r="E350">
        <v>459</v>
      </c>
      <c r="F350">
        <v>288</v>
      </c>
      <c r="G350">
        <v>135</v>
      </c>
      <c r="H350" t="str">
        <f>IF(C350&lt;=_xlfn.XLOOKUP(B350,Products!A:A,Products!I:I),"REORDER REVIEW","Stock OK")</f>
        <v>REORDER REVIEW</v>
      </c>
    </row>
    <row r="351" spans="1:8">
      <c r="A351" s="2">
        <v>45689</v>
      </c>
      <c r="B351" t="s">
        <v>128</v>
      </c>
      <c r="C351">
        <v>0</v>
      </c>
      <c r="D351">
        <v>50</v>
      </c>
      <c r="E351">
        <v>888</v>
      </c>
      <c r="F351">
        <v>288</v>
      </c>
      <c r="G351">
        <v>135</v>
      </c>
      <c r="H351" t="str">
        <f>IF(C351&lt;=_xlfn.XLOOKUP(B351,Products!A:A,Products!I:I),"REORDER REVIEW","Stock OK")</f>
        <v>REORDER REVIEW</v>
      </c>
    </row>
    <row r="352" spans="1:8">
      <c r="A352" s="2">
        <v>45717</v>
      </c>
      <c r="B352" t="s">
        <v>128</v>
      </c>
      <c r="C352">
        <v>0</v>
      </c>
      <c r="D352">
        <v>50</v>
      </c>
      <c r="E352">
        <v>859</v>
      </c>
      <c r="F352">
        <v>288</v>
      </c>
      <c r="G352">
        <v>135</v>
      </c>
      <c r="H352" t="str">
        <f>IF(C352&lt;=_xlfn.XLOOKUP(B352,Products!A:A,Products!I:I),"REORDER REVIEW","Stock OK")</f>
        <v>REORDER REVIEW</v>
      </c>
    </row>
    <row r="353" spans="1:8">
      <c r="A353" s="2">
        <v>45748</v>
      </c>
      <c r="B353" t="s">
        <v>128</v>
      </c>
      <c r="C353">
        <v>0</v>
      </c>
      <c r="D353">
        <v>100</v>
      </c>
      <c r="E353">
        <v>732</v>
      </c>
      <c r="F353">
        <v>288</v>
      </c>
      <c r="G353">
        <v>135</v>
      </c>
      <c r="H353" t="str">
        <f>IF(C353&lt;=_xlfn.XLOOKUP(B353,Products!A:A,Products!I:I),"REORDER REVIEW","Stock OK")</f>
        <v>REORDER REVIEW</v>
      </c>
    </row>
    <row r="354" spans="1:8">
      <c r="A354" s="2">
        <v>45778</v>
      </c>
      <c r="B354" t="s">
        <v>128</v>
      </c>
      <c r="C354">
        <v>0</v>
      </c>
      <c r="D354">
        <v>0</v>
      </c>
      <c r="E354">
        <v>1019</v>
      </c>
      <c r="F354">
        <v>288</v>
      </c>
      <c r="G354">
        <v>135</v>
      </c>
      <c r="H354" t="str">
        <f>IF(C354&lt;=_xlfn.XLOOKUP(B354,Products!A:A,Products!I:I),"REORDER REVIEW","Stock OK")</f>
        <v>REORDER REVIEW</v>
      </c>
    </row>
    <row r="355" spans="1:8">
      <c r="A355" s="2">
        <v>45809</v>
      </c>
      <c r="B355" t="s">
        <v>128</v>
      </c>
      <c r="C355">
        <v>0</v>
      </c>
      <c r="D355">
        <v>50</v>
      </c>
      <c r="E355">
        <v>567</v>
      </c>
      <c r="F355">
        <v>288</v>
      </c>
      <c r="G355">
        <v>135</v>
      </c>
      <c r="H355" t="str">
        <f>IF(C355&lt;=_xlfn.XLOOKUP(B355,Products!A:A,Products!I:I),"REORDER REVIEW","Stock OK")</f>
        <v>REORDER REVIEW</v>
      </c>
    </row>
    <row r="356" spans="1:8">
      <c r="A356" s="2">
        <v>45839</v>
      </c>
      <c r="B356" t="s">
        <v>128</v>
      </c>
      <c r="C356">
        <v>0</v>
      </c>
      <c r="D356">
        <v>100</v>
      </c>
      <c r="E356">
        <v>603</v>
      </c>
      <c r="F356">
        <v>288</v>
      </c>
      <c r="G356">
        <v>135</v>
      </c>
      <c r="H356" t="str">
        <f>IF(C356&lt;=_xlfn.XLOOKUP(B356,Products!A:A,Products!I:I),"REORDER REVIEW","Stock OK")</f>
        <v>REORDER REVIEW</v>
      </c>
    </row>
    <row r="357" spans="1:8">
      <c r="A357" s="2">
        <v>45870</v>
      </c>
      <c r="B357" t="s">
        <v>128</v>
      </c>
      <c r="C357">
        <v>0</v>
      </c>
      <c r="D357">
        <v>50</v>
      </c>
      <c r="E357">
        <v>857</v>
      </c>
      <c r="F357">
        <v>288</v>
      </c>
      <c r="G357">
        <v>135</v>
      </c>
      <c r="H357" t="str">
        <f>IF(C357&lt;=_xlfn.XLOOKUP(B357,Products!A:A,Products!I:I),"REORDER REVIEW","Stock OK")</f>
        <v>REORDER REVIEW</v>
      </c>
    </row>
    <row r="358" spans="1:8">
      <c r="A358" s="2">
        <v>45901</v>
      </c>
      <c r="B358" t="s">
        <v>128</v>
      </c>
      <c r="C358">
        <v>0</v>
      </c>
      <c r="D358">
        <v>100</v>
      </c>
      <c r="E358">
        <v>163</v>
      </c>
      <c r="F358">
        <v>288</v>
      </c>
      <c r="G358">
        <v>135</v>
      </c>
      <c r="H358" t="str">
        <f>IF(C358&lt;=_xlfn.XLOOKUP(B358,Products!A:A,Products!I:I),"REORDER REVIEW","Stock OK")</f>
        <v>REORDER REVIEW</v>
      </c>
    </row>
    <row r="359" spans="1:8">
      <c r="A359" s="2">
        <v>45931</v>
      </c>
      <c r="B359" t="s">
        <v>128</v>
      </c>
      <c r="C359">
        <v>0</v>
      </c>
      <c r="D359">
        <v>0</v>
      </c>
      <c r="E359">
        <v>394</v>
      </c>
      <c r="F359">
        <v>288</v>
      </c>
      <c r="G359">
        <v>135</v>
      </c>
      <c r="H359" t="str">
        <f>IF(C359&lt;=_xlfn.XLOOKUP(B359,Products!A:A,Products!I:I),"REORDER REVIEW","Stock OK")</f>
        <v>REORDER REVIEW</v>
      </c>
    </row>
    <row r="360" spans="1:8">
      <c r="A360" s="2">
        <v>45962</v>
      </c>
      <c r="B360" t="s">
        <v>128</v>
      </c>
      <c r="C360">
        <v>0</v>
      </c>
      <c r="D360">
        <v>50</v>
      </c>
      <c r="E360">
        <v>806</v>
      </c>
      <c r="F360">
        <v>288</v>
      </c>
      <c r="G360">
        <v>135</v>
      </c>
      <c r="H360" t="str">
        <f>IF(C360&lt;=_xlfn.XLOOKUP(B360,Products!A:A,Products!I:I),"REORDER REVIEW","Stock OK")</f>
        <v>REORDER REVIEW</v>
      </c>
    </row>
    <row r="361" spans="1:8">
      <c r="A361" s="2">
        <v>45992</v>
      </c>
      <c r="B361" t="s">
        <v>128</v>
      </c>
      <c r="C361">
        <v>0</v>
      </c>
      <c r="D361">
        <v>200</v>
      </c>
      <c r="E361">
        <v>653</v>
      </c>
      <c r="F361">
        <v>288</v>
      </c>
      <c r="G361">
        <v>135</v>
      </c>
      <c r="H361" t="str">
        <f>IF(C361&lt;=_xlfn.XLOOKUP(B361,Products!A:A,Products!I:I),"REORDER REVIEW","Stock OK")</f>
        <v>REORDER REVIEW</v>
      </c>
    </row>
    <row r="362" spans="1:8">
      <c r="A362" s="2">
        <v>45658</v>
      </c>
      <c r="B362" t="s">
        <v>130</v>
      </c>
      <c r="C362">
        <v>0</v>
      </c>
      <c r="D362">
        <v>200</v>
      </c>
      <c r="E362">
        <v>367</v>
      </c>
      <c r="F362">
        <v>364</v>
      </c>
      <c r="G362">
        <v>117</v>
      </c>
      <c r="H362" t="str">
        <f>IF(C362&lt;=_xlfn.XLOOKUP(B362,Products!A:A,Products!I:I),"REORDER REVIEW","Stock OK")</f>
        <v>REORDER REVIEW</v>
      </c>
    </row>
    <row r="363" spans="1:8">
      <c r="A363" s="2">
        <v>45689</v>
      </c>
      <c r="B363" t="s">
        <v>130</v>
      </c>
      <c r="C363">
        <v>0</v>
      </c>
      <c r="D363">
        <v>200</v>
      </c>
      <c r="E363">
        <v>778</v>
      </c>
      <c r="F363">
        <v>364</v>
      </c>
      <c r="G363">
        <v>117</v>
      </c>
      <c r="H363" t="str">
        <f>IF(C363&lt;=_xlfn.XLOOKUP(B363,Products!A:A,Products!I:I),"REORDER REVIEW","Stock OK")</f>
        <v>REORDER REVIEW</v>
      </c>
    </row>
    <row r="364" spans="1:8">
      <c r="A364" s="2">
        <v>45717</v>
      </c>
      <c r="B364" t="s">
        <v>130</v>
      </c>
      <c r="C364">
        <v>0</v>
      </c>
      <c r="D364">
        <v>0</v>
      </c>
      <c r="E364">
        <v>564</v>
      </c>
      <c r="F364">
        <v>364</v>
      </c>
      <c r="G364">
        <v>117</v>
      </c>
      <c r="H364" t="str">
        <f>IF(C364&lt;=_xlfn.XLOOKUP(B364,Products!A:A,Products!I:I),"REORDER REVIEW","Stock OK")</f>
        <v>REORDER REVIEW</v>
      </c>
    </row>
    <row r="365" spans="1:8">
      <c r="A365" s="2">
        <v>45748</v>
      </c>
      <c r="B365" t="s">
        <v>130</v>
      </c>
      <c r="C365">
        <v>0</v>
      </c>
      <c r="D365">
        <v>0</v>
      </c>
      <c r="E365">
        <v>460</v>
      </c>
      <c r="F365">
        <v>364</v>
      </c>
      <c r="G365">
        <v>117</v>
      </c>
      <c r="H365" t="str">
        <f>IF(C365&lt;=_xlfn.XLOOKUP(B365,Products!A:A,Products!I:I),"REORDER REVIEW","Stock OK")</f>
        <v>REORDER REVIEW</v>
      </c>
    </row>
    <row r="366" spans="1:8">
      <c r="A366" s="2">
        <v>45778</v>
      </c>
      <c r="B366" t="s">
        <v>130</v>
      </c>
      <c r="C366">
        <v>0</v>
      </c>
      <c r="D366">
        <v>0</v>
      </c>
      <c r="E366">
        <v>798</v>
      </c>
      <c r="F366">
        <v>364</v>
      </c>
      <c r="G366">
        <v>117</v>
      </c>
      <c r="H366" t="str">
        <f>IF(C366&lt;=_xlfn.XLOOKUP(B366,Products!A:A,Products!I:I),"REORDER REVIEW","Stock OK")</f>
        <v>REORDER REVIEW</v>
      </c>
    </row>
    <row r="367" spans="1:8">
      <c r="A367" s="2">
        <v>45809</v>
      </c>
      <c r="B367" t="s">
        <v>130</v>
      </c>
      <c r="C367">
        <v>0</v>
      </c>
      <c r="D367">
        <v>0</v>
      </c>
      <c r="E367">
        <v>596</v>
      </c>
      <c r="F367">
        <v>364</v>
      </c>
      <c r="G367">
        <v>117</v>
      </c>
      <c r="H367" t="str">
        <f>IF(C367&lt;=_xlfn.XLOOKUP(B367,Products!A:A,Products!I:I),"REORDER REVIEW","Stock OK")</f>
        <v>REORDER REVIEW</v>
      </c>
    </row>
    <row r="368" spans="1:8">
      <c r="A368" s="2">
        <v>45839</v>
      </c>
      <c r="B368" t="s">
        <v>130</v>
      </c>
      <c r="C368">
        <v>0</v>
      </c>
      <c r="D368">
        <v>0</v>
      </c>
      <c r="E368">
        <v>692</v>
      </c>
      <c r="F368">
        <v>364</v>
      </c>
      <c r="G368">
        <v>117</v>
      </c>
      <c r="H368" t="str">
        <f>IF(C368&lt;=_xlfn.XLOOKUP(B368,Products!A:A,Products!I:I),"REORDER REVIEW","Stock OK")</f>
        <v>REORDER REVIEW</v>
      </c>
    </row>
    <row r="369" spans="1:8">
      <c r="A369" s="2">
        <v>45870</v>
      </c>
      <c r="B369" t="s">
        <v>130</v>
      </c>
      <c r="C369">
        <v>0</v>
      </c>
      <c r="D369">
        <v>0</v>
      </c>
      <c r="E369">
        <v>615</v>
      </c>
      <c r="F369">
        <v>364</v>
      </c>
      <c r="G369">
        <v>117</v>
      </c>
      <c r="H369" t="str">
        <f>IF(C369&lt;=_xlfn.XLOOKUP(B369,Products!A:A,Products!I:I),"REORDER REVIEW","Stock OK")</f>
        <v>REORDER REVIEW</v>
      </c>
    </row>
    <row r="370" spans="1:8">
      <c r="A370" s="2">
        <v>45901</v>
      </c>
      <c r="B370" t="s">
        <v>130</v>
      </c>
      <c r="C370">
        <v>0</v>
      </c>
      <c r="D370">
        <v>100</v>
      </c>
      <c r="E370">
        <v>623</v>
      </c>
      <c r="F370">
        <v>364</v>
      </c>
      <c r="G370">
        <v>117</v>
      </c>
      <c r="H370" t="str">
        <f>IF(C370&lt;=_xlfn.XLOOKUP(B370,Products!A:A,Products!I:I),"REORDER REVIEW","Stock OK")</f>
        <v>REORDER REVIEW</v>
      </c>
    </row>
    <row r="371" spans="1:8">
      <c r="A371" s="2">
        <v>45931</v>
      </c>
      <c r="B371" t="s">
        <v>130</v>
      </c>
      <c r="C371">
        <v>0</v>
      </c>
      <c r="D371">
        <v>100</v>
      </c>
      <c r="E371">
        <v>753</v>
      </c>
      <c r="F371">
        <v>364</v>
      </c>
      <c r="G371">
        <v>117</v>
      </c>
      <c r="H371" t="str">
        <f>IF(C371&lt;=_xlfn.XLOOKUP(B371,Products!A:A,Products!I:I),"REORDER REVIEW","Stock OK")</f>
        <v>REORDER REVIEW</v>
      </c>
    </row>
    <row r="372" spans="1:8">
      <c r="A372" s="2">
        <v>45962</v>
      </c>
      <c r="B372" t="s">
        <v>130</v>
      </c>
      <c r="C372">
        <v>0</v>
      </c>
      <c r="D372">
        <v>200</v>
      </c>
      <c r="E372">
        <v>545</v>
      </c>
      <c r="F372">
        <v>364</v>
      </c>
      <c r="G372">
        <v>117</v>
      </c>
      <c r="H372" t="str">
        <f>IF(C372&lt;=_xlfn.XLOOKUP(B372,Products!A:A,Products!I:I),"REORDER REVIEW","Stock OK")</f>
        <v>REORDER REVIEW</v>
      </c>
    </row>
    <row r="373" spans="1:8">
      <c r="A373" s="2">
        <v>45992</v>
      </c>
      <c r="B373" t="s">
        <v>130</v>
      </c>
      <c r="C373">
        <v>0</v>
      </c>
      <c r="D373">
        <v>0</v>
      </c>
      <c r="E373">
        <v>628</v>
      </c>
      <c r="F373">
        <v>364</v>
      </c>
      <c r="G373">
        <v>117</v>
      </c>
      <c r="H373" t="str">
        <f>IF(C373&lt;=_xlfn.XLOOKUP(B373,Products!A:A,Products!I:I),"REORDER REVIEW","Stock OK")</f>
        <v>REORDER REVIEW</v>
      </c>
    </row>
    <row r="374" spans="1:8">
      <c r="A374" s="2">
        <v>45658</v>
      </c>
      <c r="B374" t="s">
        <v>132</v>
      </c>
      <c r="C374">
        <v>405</v>
      </c>
      <c r="D374">
        <v>100</v>
      </c>
      <c r="E374">
        <v>336</v>
      </c>
      <c r="F374">
        <v>449</v>
      </c>
      <c r="G374">
        <v>65</v>
      </c>
      <c r="H374" t="str">
        <f>IF(C374&lt;=_xlfn.XLOOKUP(B374,Products!A:A,Products!I:I),"REORDER REVIEW","Stock OK")</f>
        <v>REORDER REVIEW</v>
      </c>
    </row>
    <row r="375" spans="1:8">
      <c r="A375" s="2">
        <v>45689</v>
      </c>
      <c r="B375" t="s">
        <v>132</v>
      </c>
      <c r="C375">
        <v>0</v>
      </c>
      <c r="D375">
        <v>100</v>
      </c>
      <c r="E375">
        <v>445</v>
      </c>
      <c r="F375">
        <v>449</v>
      </c>
      <c r="G375">
        <v>65</v>
      </c>
      <c r="H375" t="str">
        <f>IF(C375&lt;=_xlfn.XLOOKUP(B375,Products!A:A,Products!I:I),"REORDER REVIEW","Stock OK")</f>
        <v>REORDER REVIEW</v>
      </c>
    </row>
    <row r="376" spans="1:8">
      <c r="A376" s="2">
        <v>45717</v>
      </c>
      <c r="B376" t="s">
        <v>132</v>
      </c>
      <c r="C376">
        <v>0</v>
      </c>
      <c r="D376">
        <v>0</v>
      </c>
      <c r="E376">
        <v>408</v>
      </c>
      <c r="F376">
        <v>449</v>
      </c>
      <c r="G376">
        <v>65</v>
      </c>
      <c r="H376" t="str">
        <f>IF(C376&lt;=_xlfn.XLOOKUP(B376,Products!A:A,Products!I:I),"REORDER REVIEW","Stock OK")</f>
        <v>REORDER REVIEW</v>
      </c>
    </row>
    <row r="377" spans="1:8">
      <c r="A377" s="2">
        <v>45748</v>
      </c>
      <c r="B377" t="s">
        <v>132</v>
      </c>
      <c r="C377">
        <v>0</v>
      </c>
      <c r="D377">
        <v>100</v>
      </c>
      <c r="E377">
        <v>361</v>
      </c>
      <c r="F377">
        <v>449</v>
      </c>
      <c r="G377">
        <v>65</v>
      </c>
      <c r="H377" t="str">
        <f>IF(C377&lt;=_xlfn.XLOOKUP(B377,Products!A:A,Products!I:I),"REORDER REVIEW","Stock OK")</f>
        <v>REORDER REVIEW</v>
      </c>
    </row>
    <row r="378" spans="1:8">
      <c r="A378" s="2">
        <v>45778</v>
      </c>
      <c r="B378" t="s">
        <v>132</v>
      </c>
      <c r="C378">
        <v>0</v>
      </c>
      <c r="D378">
        <v>200</v>
      </c>
      <c r="E378">
        <v>519</v>
      </c>
      <c r="F378">
        <v>449</v>
      </c>
      <c r="G378">
        <v>65</v>
      </c>
      <c r="H378" t="str">
        <f>IF(C378&lt;=_xlfn.XLOOKUP(B378,Products!A:A,Products!I:I),"REORDER REVIEW","Stock OK")</f>
        <v>REORDER REVIEW</v>
      </c>
    </row>
    <row r="379" spans="1:8">
      <c r="A379" s="2">
        <v>45809</v>
      </c>
      <c r="B379" t="s">
        <v>132</v>
      </c>
      <c r="C379">
        <v>0</v>
      </c>
      <c r="D379">
        <v>50</v>
      </c>
      <c r="E379">
        <v>282</v>
      </c>
      <c r="F379">
        <v>449</v>
      </c>
      <c r="G379">
        <v>65</v>
      </c>
      <c r="H379" t="str">
        <f>IF(C379&lt;=_xlfn.XLOOKUP(B379,Products!A:A,Products!I:I),"REORDER REVIEW","Stock OK")</f>
        <v>REORDER REVIEW</v>
      </c>
    </row>
    <row r="380" spans="1:8">
      <c r="A380" s="2">
        <v>45839</v>
      </c>
      <c r="B380" t="s">
        <v>132</v>
      </c>
      <c r="C380">
        <v>0</v>
      </c>
      <c r="D380">
        <v>50</v>
      </c>
      <c r="E380">
        <v>305</v>
      </c>
      <c r="F380">
        <v>449</v>
      </c>
      <c r="G380">
        <v>65</v>
      </c>
      <c r="H380" t="str">
        <f>IF(C380&lt;=_xlfn.XLOOKUP(B380,Products!A:A,Products!I:I),"REORDER REVIEW","Stock OK")</f>
        <v>REORDER REVIEW</v>
      </c>
    </row>
    <row r="381" spans="1:8">
      <c r="A381" s="2">
        <v>45870</v>
      </c>
      <c r="B381" t="s">
        <v>132</v>
      </c>
      <c r="C381">
        <v>0</v>
      </c>
      <c r="D381">
        <v>100</v>
      </c>
      <c r="E381">
        <v>542</v>
      </c>
      <c r="F381">
        <v>449</v>
      </c>
      <c r="G381">
        <v>65</v>
      </c>
      <c r="H381" t="str">
        <f>IF(C381&lt;=_xlfn.XLOOKUP(B381,Products!A:A,Products!I:I),"REORDER REVIEW","Stock OK")</f>
        <v>REORDER REVIEW</v>
      </c>
    </row>
    <row r="382" spans="1:8">
      <c r="A382" s="2">
        <v>45901</v>
      </c>
      <c r="B382" t="s">
        <v>132</v>
      </c>
      <c r="C382">
        <v>0</v>
      </c>
      <c r="D382">
        <v>200</v>
      </c>
      <c r="E382">
        <v>504</v>
      </c>
      <c r="F382">
        <v>449</v>
      </c>
      <c r="G382">
        <v>65</v>
      </c>
      <c r="H382" t="str">
        <f>IF(C382&lt;=_xlfn.XLOOKUP(B382,Products!A:A,Products!I:I),"REORDER REVIEW","Stock OK")</f>
        <v>REORDER REVIEW</v>
      </c>
    </row>
    <row r="383" spans="1:8">
      <c r="A383" s="2">
        <v>45931</v>
      </c>
      <c r="B383" t="s">
        <v>132</v>
      </c>
      <c r="C383">
        <v>11</v>
      </c>
      <c r="D383">
        <v>100</v>
      </c>
      <c r="E383">
        <v>289</v>
      </c>
      <c r="F383">
        <v>449</v>
      </c>
      <c r="G383">
        <v>65</v>
      </c>
      <c r="H383" t="str">
        <f>IF(C383&lt;=_xlfn.XLOOKUP(B383,Products!A:A,Products!I:I),"REORDER REVIEW","Stock OK")</f>
        <v>REORDER REVIEW</v>
      </c>
    </row>
    <row r="384" spans="1:8">
      <c r="A384" s="2">
        <v>45962</v>
      </c>
      <c r="B384" t="s">
        <v>132</v>
      </c>
      <c r="C384">
        <v>0</v>
      </c>
      <c r="D384">
        <v>0</v>
      </c>
      <c r="E384">
        <v>314</v>
      </c>
      <c r="F384">
        <v>449</v>
      </c>
      <c r="G384">
        <v>65</v>
      </c>
      <c r="H384" t="str">
        <f>IF(C384&lt;=_xlfn.XLOOKUP(B384,Products!A:A,Products!I:I),"REORDER REVIEW","Stock OK")</f>
        <v>REORDER REVIEW</v>
      </c>
    </row>
    <row r="385" spans="1:8">
      <c r="A385" s="2">
        <v>45992</v>
      </c>
      <c r="B385" t="s">
        <v>132</v>
      </c>
      <c r="C385">
        <v>0</v>
      </c>
      <c r="D385">
        <v>0</v>
      </c>
      <c r="E385">
        <v>175</v>
      </c>
      <c r="F385">
        <v>449</v>
      </c>
      <c r="G385">
        <v>65</v>
      </c>
      <c r="H385" t="str">
        <f>IF(C385&lt;=_xlfn.XLOOKUP(B385,Products!A:A,Products!I:I),"REORDER REVIEW","Stock OK")</f>
        <v>REORDER REVIEW</v>
      </c>
    </row>
    <row r="386" spans="1:8">
      <c r="A386" s="2">
        <v>45658</v>
      </c>
      <c r="B386" t="s">
        <v>134</v>
      </c>
      <c r="C386">
        <v>101</v>
      </c>
      <c r="D386">
        <v>0</v>
      </c>
      <c r="E386">
        <v>248</v>
      </c>
      <c r="F386">
        <v>231</v>
      </c>
      <c r="G386">
        <v>132</v>
      </c>
      <c r="H386" t="str">
        <f>IF(C386&lt;=_xlfn.XLOOKUP(B386,Products!A:A,Products!I:I),"REORDER REVIEW","Stock OK")</f>
        <v>REORDER REVIEW</v>
      </c>
    </row>
    <row r="387" spans="1:8">
      <c r="A387" s="2">
        <v>45689</v>
      </c>
      <c r="B387" t="s">
        <v>134</v>
      </c>
      <c r="C387">
        <v>105</v>
      </c>
      <c r="D387">
        <v>0</v>
      </c>
      <c r="E387">
        <v>96</v>
      </c>
      <c r="F387">
        <v>231</v>
      </c>
      <c r="G387">
        <v>132</v>
      </c>
      <c r="H387" t="str">
        <f>IF(C387&lt;=_xlfn.XLOOKUP(B387,Products!A:A,Products!I:I),"REORDER REVIEW","Stock OK")</f>
        <v>REORDER REVIEW</v>
      </c>
    </row>
    <row r="388" spans="1:8">
      <c r="A388" s="2">
        <v>45717</v>
      </c>
      <c r="B388" t="s">
        <v>134</v>
      </c>
      <c r="C388">
        <v>200</v>
      </c>
      <c r="D388">
        <v>0</v>
      </c>
      <c r="E388">
        <v>205</v>
      </c>
      <c r="F388">
        <v>231</v>
      </c>
      <c r="G388">
        <v>132</v>
      </c>
      <c r="H388" t="str">
        <f>IF(C388&lt;=_xlfn.XLOOKUP(B388,Products!A:A,Products!I:I),"REORDER REVIEW","Stock OK")</f>
        <v>REORDER REVIEW</v>
      </c>
    </row>
    <row r="389" spans="1:8">
      <c r="A389" s="2">
        <v>45748</v>
      </c>
      <c r="B389" t="s">
        <v>134</v>
      </c>
      <c r="C389">
        <v>185</v>
      </c>
      <c r="D389">
        <v>200</v>
      </c>
      <c r="E389">
        <v>115</v>
      </c>
      <c r="F389">
        <v>231</v>
      </c>
      <c r="G389">
        <v>132</v>
      </c>
      <c r="H389" t="str">
        <f>IF(C389&lt;=_xlfn.XLOOKUP(B389,Products!A:A,Products!I:I),"REORDER REVIEW","Stock OK")</f>
        <v>REORDER REVIEW</v>
      </c>
    </row>
    <row r="390" spans="1:8">
      <c r="A390" s="2">
        <v>45778</v>
      </c>
      <c r="B390" t="s">
        <v>134</v>
      </c>
      <c r="C390">
        <v>0</v>
      </c>
      <c r="D390">
        <v>100</v>
      </c>
      <c r="E390">
        <v>238</v>
      </c>
      <c r="F390">
        <v>231</v>
      </c>
      <c r="G390">
        <v>132</v>
      </c>
      <c r="H390" t="str">
        <f>IF(C390&lt;=_xlfn.XLOOKUP(B390,Products!A:A,Products!I:I),"REORDER REVIEW","Stock OK")</f>
        <v>REORDER REVIEW</v>
      </c>
    </row>
    <row r="391" spans="1:8">
      <c r="A391" s="2">
        <v>45809</v>
      </c>
      <c r="B391" t="s">
        <v>134</v>
      </c>
      <c r="C391">
        <v>0</v>
      </c>
      <c r="D391">
        <v>200</v>
      </c>
      <c r="E391">
        <v>217</v>
      </c>
      <c r="F391">
        <v>231</v>
      </c>
      <c r="G391">
        <v>132</v>
      </c>
      <c r="H391" t="str">
        <f>IF(C391&lt;=_xlfn.XLOOKUP(B391,Products!A:A,Products!I:I),"REORDER REVIEW","Stock OK")</f>
        <v>REORDER REVIEW</v>
      </c>
    </row>
    <row r="392" spans="1:8">
      <c r="A392" s="2">
        <v>45839</v>
      </c>
      <c r="B392" t="s">
        <v>134</v>
      </c>
      <c r="C392">
        <v>0</v>
      </c>
      <c r="D392">
        <v>0</v>
      </c>
      <c r="E392">
        <v>184</v>
      </c>
      <c r="F392">
        <v>231</v>
      </c>
      <c r="G392">
        <v>132</v>
      </c>
      <c r="H392" t="str">
        <f>IF(C392&lt;=_xlfn.XLOOKUP(B392,Products!A:A,Products!I:I),"REORDER REVIEW","Stock OK")</f>
        <v>REORDER REVIEW</v>
      </c>
    </row>
    <row r="393" spans="1:8">
      <c r="A393" s="2">
        <v>45870</v>
      </c>
      <c r="B393" t="s">
        <v>134</v>
      </c>
      <c r="C393">
        <v>0</v>
      </c>
      <c r="D393">
        <v>200</v>
      </c>
      <c r="E393">
        <v>193</v>
      </c>
      <c r="F393">
        <v>231</v>
      </c>
      <c r="G393">
        <v>132</v>
      </c>
      <c r="H393" t="str">
        <f>IF(C393&lt;=_xlfn.XLOOKUP(B393,Products!A:A,Products!I:I),"REORDER REVIEW","Stock OK")</f>
        <v>REORDER REVIEW</v>
      </c>
    </row>
    <row r="394" spans="1:8">
      <c r="A394" s="2">
        <v>45901</v>
      </c>
      <c r="B394" t="s">
        <v>134</v>
      </c>
      <c r="C394">
        <v>29</v>
      </c>
      <c r="D394">
        <v>200</v>
      </c>
      <c r="E394">
        <v>271</v>
      </c>
      <c r="F394">
        <v>231</v>
      </c>
      <c r="G394">
        <v>132</v>
      </c>
      <c r="H394" t="str">
        <f>IF(C394&lt;=_xlfn.XLOOKUP(B394,Products!A:A,Products!I:I),"REORDER REVIEW","Stock OK")</f>
        <v>REORDER REVIEW</v>
      </c>
    </row>
    <row r="395" spans="1:8">
      <c r="A395" s="2">
        <v>45931</v>
      </c>
      <c r="B395" t="s">
        <v>134</v>
      </c>
      <c r="C395">
        <v>16</v>
      </c>
      <c r="D395">
        <v>0</v>
      </c>
      <c r="E395">
        <v>313</v>
      </c>
      <c r="F395">
        <v>231</v>
      </c>
      <c r="G395">
        <v>132</v>
      </c>
      <c r="H395" t="str">
        <f>IF(C395&lt;=_xlfn.XLOOKUP(B395,Products!A:A,Products!I:I),"REORDER REVIEW","Stock OK")</f>
        <v>REORDER REVIEW</v>
      </c>
    </row>
    <row r="396" spans="1:8">
      <c r="A396" s="2">
        <v>45962</v>
      </c>
      <c r="B396" t="s">
        <v>134</v>
      </c>
      <c r="C396">
        <v>0</v>
      </c>
      <c r="D396">
        <v>100</v>
      </c>
      <c r="E396">
        <v>140</v>
      </c>
      <c r="F396">
        <v>231</v>
      </c>
      <c r="G396">
        <v>132</v>
      </c>
      <c r="H396" t="str">
        <f>IF(C396&lt;=_xlfn.XLOOKUP(B396,Products!A:A,Products!I:I),"REORDER REVIEW","Stock OK")</f>
        <v>REORDER REVIEW</v>
      </c>
    </row>
    <row r="397" spans="1:8">
      <c r="A397" s="2">
        <v>45992</v>
      </c>
      <c r="B397" t="s">
        <v>134</v>
      </c>
      <c r="C397">
        <v>0</v>
      </c>
      <c r="D397">
        <v>0</v>
      </c>
      <c r="E397">
        <v>217</v>
      </c>
      <c r="F397">
        <v>231</v>
      </c>
      <c r="G397">
        <v>132</v>
      </c>
      <c r="H397" t="str">
        <f>IF(C397&lt;=_xlfn.XLOOKUP(B397,Products!A:A,Products!I:I),"REORDER REVIEW","Stock OK")</f>
        <v>REORDER REVIEW</v>
      </c>
    </row>
    <row r="398" spans="1:8">
      <c r="A398" s="2">
        <v>45658</v>
      </c>
      <c r="B398" t="s">
        <v>136</v>
      </c>
      <c r="C398">
        <v>0</v>
      </c>
      <c r="D398">
        <v>0</v>
      </c>
      <c r="E398">
        <v>88</v>
      </c>
      <c r="F398">
        <v>113</v>
      </c>
      <c r="G398">
        <v>66</v>
      </c>
      <c r="H398" t="str">
        <f>IF(C398&lt;=_xlfn.XLOOKUP(B398,Products!A:A,Products!I:I),"REORDER REVIEW","Stock OK")</f>
        <v>REORDER REVIEW</v>
      </c>
    </row>
    <row r="399" spans="1:8">
      <c r="A399" s="2">
        <v>45689</v>
      </c>
      <c r="B399" t="s">
        <v>136</v>
      </c>
      <c r="C399">
        <v>20</v>
      </c>
      <c r="D399">
        <v>0</v>
      </c>
      <c r="E399">
        <v>180</v>
      </c>
      <c r="F399">
        <v>113</v>
      </c>
      <c r="G399">
        <v>66</v>
      </c>
      <c r="H399" t="str">
        <f>IF(C399&lt;=_xlfn.XLOOKUP(B399,Products!A:A,Products!I:I),"REORDER REVIEW","Stock OK")</f>
        <v>REORDER REVIEW</v>
      </c>
    </row>
    <row r="400" spans="1:8">
      <c r="A400" s="2">
        <v>45717</v>
      </c>
      <c r="B400" t="s">
        <v>136</v>
      </c>
      <c r="C400">
        <v>0</v>
      </c>
      <c r="D400">
        <v>50</v>
      </c>
      <c r="E400">
        <v>311</v>
      </c>
      <c r="F400">
        <v>113</v>
      </c>
      <c r="G400">
        <v>66</v>
      </c>
      <c r="H400" t="str">
        <f>IF(C400&lt;=_xlfn.XLOOKUP(B400,Products!A:A,Products!I:I),"REORDER REVIEW","Stock OK")</f>
        <v>REORDER REVIEW</v>
      </c>
    </row>
    <row r="401" spans="1:8">
      <c r="A401" s="2">
        <v>45748</v>
      </c>
      <c r="B401" t="s">
        <v>136</v>
      </c>
      <c r="C401">
        <v>0</v>
      </c>
      <c r="D401">
        <v>0</v>
      </c>
      <c r="E401">
        <v>184</v>
      </c>
      <c r="F401">
        <v>113</v>
      </c>
      <c r="G401">
        <v>66</v>
      </c>
      <c r="H401" t="str">
        <f>IF(C401&lt;=_xlfn.XLOOKUP(B401,Products!A:A,Products!I:I),"REORDER REVIEW","Stock OK")</f>
        <v>REORDER REVIEW</v>
      </c>
    </row>
    <row r="402" spans="1:8">
      <c r="A402" s="2">
        <v>45778</v>
      </c>
      <c r="B402" t="s">
        <v>136</v>
      </c>
      <c r="C402">
        <v>21</v>
      </c>
      <c r="D402">
        <v>0</v>
      </c>
      <c r="E402">
        <v>179</v>
      </c>
      <c r="F402">
        <v>113</v>
      </c>
      <c r="G402">
        <v>66</v>
      </c>
      <c r="H402" t="str">
        <f>IF(C402&lt;=_xlfn.XLOOKUP(B402,Products!A:A,Products!I:I),"REORDER REVIEW","Stock OK")</f>
        <v>REORDER REVIEW</v>
      </c>
    </row>
    <row r="403" spans="1:8">
      <c r="A403" s="2">
        <v>45809</v>
      </c>
      <c r="B403" t="s">
        <v>136</v>
      </c>
      <c r="C403">
        <v>0</v>
      </c>
      <c r="D403">
        <v>100</v>
      </c>
      <c r="E403">
        <v>253</v>
      </c>
      <c r="F403">
        <v>113</v>
      </c>
      <c r="G403">
        <v>66</v>
      </c>
      <c r="H403" t="str">
        <f>IF(C403&lt;=_xlfn.XLOOKUP(B403,Products!A:A,Products!I:I),"REORDER REVIEW","Stock OK")</f>
        <v>REORDER REVIEW</v>
      </c>
    </row>
    <row r="404" spans="1:8">
      <c r="A404" s="2">
        <v>45839</v>
      </c>
      <c r="B404" t="s">
        <v>136</v>
      </c>
      <c r="C404">
        <v>0</v>
      </c>
      <c r="D404">
        <v>0</v>
      </c>
      <c r="E404">
        <v>205</v>
      </c>
      <c r="F404">
        <v>113</v>
      </c>
      <c r="G404">
        <v>66</v>
      </c>
      <c r="H404" t="str">
        <f>IF(C404&lt;=_xlfn.XLOOKUP(B404,Products!A:A,Products!I:I),"REORDER REVIEW","Stock OK")</f>
        <v>REORDER REVIEW</v>
      </c>
    </row>
    <row r="405" spans="1:8">
      <c r="A405" s="2">
        <v>45870</v>
      </c>
      <c r="B405" t="s">
        <v>136</v>
      </c>
      <c r="C405">
        <v>0</v>
      </c>
      <c r="D405">
        <v>100</v>
      </c>
      <c r="E405">
        <v>182</v>
      </c>
      <c r="F405">
        <v>113</v>
      </c>
      <c r="G405">
        <v>66</v>
      </c>
      <c r="H405" t="str">
        <f>IF(C405&lt;=_xlfn.XLOOKUP(B405,Products!A:A,Products!I:I),"REORDER REVIEW","Stock OK")</f>
        <v>REORDER REVIEW</v>
      </c>
    </row>
    <row r="406" spans="1:8">
      <c r="A406" s="2">
        <v>45901</v>
      </c>
      <c r="B406" t="s">
        <v>136</v>
      </c>
      <c r="C406">
        <v>0</v>
      </c>
      <c r="D406">
        <v>50</v>
      </c>
      <c r="E406">
        <v>271</v>
      </c>
      <c r="F406">
        <v>113</v>
      </c>
      <c r="G406">
        <v>66</v>
      </c>
      <c r="H406" t="str">
        <f>IF(C406&lt;=_xlfn.XLOOKUP(B406,Products!A:A,Products!I:I),"REORDER REVIEW","Stock OK")</f>
        <v>REORDER REVIEW</v>
      </c>
    </row>
    <row r="407" spans="1:8">
      <c r="A407" s="2">
        <v>45931</v>
      </c>
      <c r="B407" t="s">
        <v>136</v>
      </c>
      <c r="C407">
        <v>0</v>
      </c>
      <c r="D407">
        <v>100</v>
      </c>
      <c r="E407">
        <v>283</v>
      </c>
      <c r="F407">
        <v>113</v>
      </c>
      <c r="G407">
        <v>66</v>
      </c>
      <c r="H407" t="str">
        <f>IF(C407&lt;=_xlfn.XLOOKUP(B407,Products!A:A,Products!I:I),"REORDER REVIEW","Stock OK")</f>
        <v>REORDER REVIEW</v>
      </c>
    </row>
    <row r="408" spans="1:8">
      <c r="A408" s="2">
        <v>45962</v>
      </c>
      <c r="B408" t="s">
        <v>136</v>
      </c>
      <c r="C408">
        <v>0</v>
      </c>
      <c r="D408">
        <v>200</v>
      </c>
      <c r="E408">
        <v>231</v>
      </c>
      <c r="F408">
        <v>113</v>
      </c>
      <c r="G408">
        <v>66</v>
      </c>
      <c r="H408" t="str">
        <f>IF(C408&lt;=_xlfn.XLOOKUP(B408,Products!A:A,Products!I:I),"REORDER REVIEW","Stock OK")</f>
        <v>REORDER REVIEW</v>
      </c>
    </row>
    <row r="409" spans="1:8">
      <c r="A409" s="2">
        <v>45992</v>
      </c>
      <c r="B409" t="s">
        <v>136</v>
      </c>
      <c r="C409">
        <v>0</v>
      </c>
      <c r="D409">
        <v>0</v>
      </c>
      <c r="E409">
        <v>43</v>
      </c>
      <c r="F409">
        <v>113</v>
      </c>
      <c r="G409">
        <v>66</v>
      </c>
      <c r="H409" t="str">
        <f>IF(C409&lt;=_xlfn.XLOOKUP(B409,Products!A:A,Products!I:I),"REORDER REVIEW","Stock OK")</f>
        <v>REORDER REVIEW</v>
      </c>
    </row>
    <row r="410" spans="1:8">
      <c r="A410" s="2">
        <v>45658</v>
      </c>
      <c r="B410" t="s">
        <v>138</v>
      </c>
      <c r="C410">
        <v>0</v>
      </c>
      <c r="D410">
        <v>0</v>
      </c>
      <c r="E410">
        <v>1031</v>
      </c>
      <c r="F410">
        <v>271</v>
      </c>
      <c r="G410">
        <v>115</v>
      </c>
      <c r="H410" t="str">
        <f>IF(C410&lt;=_xlfn.XLOOKUP(B410,Products!A:A,Products!I:I),"REORDER REVIEW","Stock OK")</f>
        <v>REORDER REVIEW</v>
      </c>
    </row>
    <row r="411" spans="1:8">
      <c r="A411" s="2">
        <v>45689</v>
      </c>
      <c r="B411" t="s">
        <v>138</v>
      </c>
      <c r="C411">
        <v>0</v>
      </c>
      <c r="D411">
        <v>100</v>
      </c>
      <c r="E411">
        <v>694</v>
      </c>
      <c r="F411">
        <v>271</v>
      </c>
      <c r="G411">
        <v>115</v>
      </c>
      <c r="H411" t="str">
        <f>IF(C411&lt;=_xlfn.XLOOKUP(B411,Products!A:A,Products!I:I),"REORDER REVIEW","Stock OK")</f>
        <v>REORDER REVIEW</v>
      </c>
    </row>
    <row r="412" spans="1:8">
      <c r="A412" s="2">
        <v>45717</v>
      </c>
      <c r="B412" t="s">
        <v>138</v>
      </c>
      <c r="C412">
        <v>0</v>
      </c>
      <c r="D412">
        <v>100</v>
      </c>
      <c r="E412">
        <v>500</v>
      </c>
      <c r="F412">
        <v>271</v>
      </c>
      <c r="G412">
        <v>115</v>
      </c>
      <c r="H412" t="str">
        <f>IF(C412&lt;=_xlfn.XLOOKUP(B412,Products!A:A,Products!I:I),"REORDER REVIEW","Stock OK")</f>
        <v>REORDER REVIEW</v>
      </c>
    </row>
    <row r="413" spans="1:8">
      <c r="A413" s="2">
        <v>45748</v>
      </c>
      <c r="B413" t="s">
        <v>138</v>
      </c>
      <c r="C413">
        <v>0</v>
      </c>
      <c r="D413">
        <v>50</v>
      </c>
      <c r="E413">
        <v>875</v>
      </c>
      <c r="F413">
        <v>271</v>
      </c>
      <c r="G413">
        <v>115</v>
      </c>
      <c r="H413" t="str">
        <f>IF(C413&lt;=_xlfn.XLOOKUP(B413,Products!A:A,Products!I:I),"REORDER REVIEW","Stock OK")</f>
        <v>REORDER REVIEW</v>
      </c>
    </row>
    <row r="414" spans="1:8">
      <c r="A414" s="2">
        <v>45778</v>
      </c>
      <c r="B414" t="s">
        <v>138</v>
      </c>
      <c r="C414">
        <v>0</v>
      </c>
      <c r="D414">
        <v>200</v>
      </c>
      <c r="E414">
        <v>555</v>
      </c>
      <c r="F414">
        <v>271</v>
      </c>
      <c r="G414">
        <v>115</v>
      </c>
      <c r="H414" t="str">
        <f>IF(C414&lt;=_xlfn.XLOOKUP(B414,Products!A:A,Products!I:I),"REORDER REVIEW","Stock OK")</f>
        <v>REORDER REVIEW</v>
      </c>
    </row>
    <row r="415" spans="1:8">
      <c r="A415" s="2">
        <v>45809</v>
      </c>
      <c r="B415" t="s">
        <v>138</v>
      </c>
      <c r="C415">
        <v>0</v>
      </c>
      <c r="D415">
        <v>0</v>
      </c>
      <c r="E415">
        <v>569</v>
      </c>
      <c r="F415">
        <v>271</v>
      </c>
      <c r="G415">
        <v>115</v>
      </c>
      <c r="H415" t="str">
        <f>IF(C415&lt;=_xlfn.XLOOKUP(B415,Products!A:A,Products!I:I),"REORDER REVIEW","Stock OK")</f>
        <v>REORDER REVIEW</v>
      </c>
    </row>
    <row r="416" spans="1:8">
      <c r="A416" s="2">
        <v>45839</v>
      </c>
      <c r="B416" t="s">
        <v>138</v>
      </c>
      <c r="C416">
        <v>0</v>
      </c>
      <c r="D416">
        <v>50</v>
      </c>
      <c r="E416">
        <v>538</v>
      </c>
      <c r="F416">
        <v>271</v>
      </c>
      <c r="G416">
        <v>115</v>
      </c>
      <c r="H416" t="str">
        <f>IF(C416&lt;=_xlfn.XLOOKUP(B416,Products!A:A,Products!I:I),"REORDER REVIEW","Stock OK")</f>
        <v>REORDER REVIEW</v>
      </c>
    </row>
    <row r="417" spans="1:8">
      <c r="A417" s="2">
        <v>45870</v>
      </c>
      <c r="B417" t="s">
        <v>138</v>
      </c>
      <c r="C417">
        <v>0</v>
      </c>
      <c r="D417">
        <v>100</v>
      </c>
      <c r="E417">
        <v>842</v>
      </c>
      <c r="F417">
        <v>271</v>
      </c>
      <c r="G417">
        <v>115</v>
      </c>
      <c r="H417" t="str">
        <f>IF(C417&lt;=_xlfn.XLOOKUP(B417,Products!A:A,Products!I:I),"REORDER REVIEW","Stock OK")</f>
        <v>REORDER REVIEW</v>
      </c>
    </row>
    <row r="418" spans="1:8">
      <c r="A418" s="2">
        <v>45901</v>
      </c>
      <c r="B418" t="s">
        <v>138</v>
      </c>
      <c r="C418">
        <v>0</v>
      </c>
      <c r="D418">
        <v>100</v>
      </c>
      <c r="E418">
        <v>919</v>
      </c>
      <c r="F418">
        <v>271</v>
      </c>
      <c r="G418">
        <v>115</v>
      </c>
      <c r="H418" t="str">
        <f>IF(C418&lt;=_xlfn.XLOOKUP(B418,Products!A:A,Products!I:I),"REORDER REVIEW","Stock OK")</f>
        <v>REORDER REVIEW</v>
      </c>
    </row>
    <row r="419" spans="1:8">
      <c r="A419" s="2">
        <v>45931</v>
      </c>
      <c r="B419" t="s">
        <v>138</v>
      </c>
      <c r="C419">
        <v>0</v>
      </c>
      <c r="D419">
        <v>0</v>
      </c>
      <c r="E419">
        <v>719</v>
      </c>
      <c r="F419">
        <v>271</v>
      </c>
      <c r="G419">
        <v>115</v>
      </c>
      <c r="H419" t="str">
        <f>IF(C419&lt;=_xlfn.XLOOKUP(B419,Products!A:A,Products!I:I),"REORDER REVIEW","Stock OK")</f>
        <v>REORDER REVIEW</v>
      </c>
    </row>
    <row r="420" spans="1:8">
      <c r="A420" s="2">
        <v>45962</v>
      </c>
      <c r="B420" t="s">
        <v>138</v>
      </c>
      <c r="C420">
        <v>0</v>
      </c>
      <c r="D420">
        <v>100</v>
      </c>
      <c r="E420">
        <v>707</v>
      </c>
      <c r="F420">
        <v>271</v>
      </c>
      <c r="G420">
        <v>115</v>
      </c>
      <c r="H420" t="str">
        <f>IF(C420&lt;=_xlfn.XLOOKUP(B420,Products!A:A,Products!I:I),"REORDER REVIEW","Stock OK")</f>
        <v>REORDER REVIEW</v>
      </c>
    </row>
    <row r="421" spans="1:8">
      <c r="A421" s="2">
        <v>45992</v>
      </c>
      <c r="B421" t="s">
        <v>138</v>
      </c>
      <c r="C421">
        <v>0</v>
      </c>
      <c r="D421">
        <v>200</v>
      </c>
      <c r="E421">
        <v>339</v>
      </c>
      <c r="F421">
        <v>271</v>
      </c>
      <c r="G421">
        <v>115</v>
      </c>
      <c r="H421" t="str">
        <f>IF(C421&lt;=_xlfn.XLOOKUP(B421,Products!A:A,Products!I:I),"REORDER REVIEW","Stock OK")</f>
        <v>REORDER REVIEW</v>
      </c>
    </row>
    <row r="422" spans="1:8">
      <c r="A422" s="2">
        <v>45658</v>
      </c>
      <c r="B422" t="s">
        <v>140</v>
      </c>
      <c r="C422">
        <v>649</v>
      </c>
      <c r="D422">
        <v>200</v>
      </c>
      <c r="E422">
        <v>89</v>
      </c>
      <c r="F422">
        <v>40</v>
      </c>
      <c r="G422">
        <v>16</v>
      </c>
      <c r="H422" t="str">
        <f>IF(C422&lt;=_xlfn.XLOOKUP(B422,Products!A:A,Products!I:I),"REORDER REVIEW","Stock OK")</f>
        <v>Stock OK</v>
      </c>
    </row>
    <row r="423" spans="1:8">
      <c r="A423" s="2">
        <v>45689</v>
      </c>
      <c r="B423" t="s">
        <v>140</v>
      </c>
      <c r="C423">
        <v>537</v>
      </c>
      <c r="D423">
        <v>100</v>
      </c>
      <c r="E423">
        <v>112</v>
      </c>
      <c r="F423">
        <v>40</v>
      </c>
      <c r="G423">
        <v>16</v>
      </c>
      <c r="H423" t="str">
        <f>IF(C423&lt;=_xlfn.XLOOKUP(B423,Products!A:A,Products!I:I),"REORDER REVIEW","Stock OK")</f>
        <v>Stock OK</v>
      </c>
    </row>
    <row r="424" spans="1:8">
      <c r="A424" s="2">
        <v>45717</v>
      </c>
      <c r="B424" t="s">
        <v>140</v>
      </c>
      <c r="C424">
        <v>497</v>
      </c>
      <c r="D424">
        <v>0</v>
      </c>
      <c r="E424">
        <v>40</v>
      </c>
      <c r="F424">
        <v>40</v>
      </c>
      <c r="G424">
        <v>16</v>
      </c>
      <c r="H424" t="str">
        <f>IF(C424&lt;=_xlfn.XLOOKUP(B424,Products!A:A,Products!I:I),"REORDER REVIEW","Stock OK")</f>
        <v>Stock OK</v>
      </c>
    </row>
    <row r="425" spans="1:8">
      <c r="A425" s="2">
        <v>45748</v>
      </c>
      <c r="B425" t="s">
        <v>140</v>
      </c>
      <c r="C425">
        <v>408</v>
      </c>
      <c r="D425">
        <v>50</v>
      </c>
      <c r="E425">
        <v>89</v>
      </c>
      <c r="F425">
        <v>40</v>
      </c>
      <c r="G425">
        <v>16</v>
      </c>
      <c r="H425" t="str">
        <f>IF(C425&lt;=_xlfn.XLOOKUP(B425,Products!A:A,Products!I:I),"REORDER REVIEW","Stock OK")</f>
        <v>Stock OK</v>
      </c>
    </row>
    <row r="426" spans="1:8">
      <c r="A426" s="2">
        <v>45778</v>
      </c>
      <c r="B426" t="s">
        <v>140</v>
      </c>
      <c r="C426">
        <v>322</v>
      </c>
      <c r="D426">
        <v>200</v>
      </c>
      <c r="E426">
        <v>86</v>
      </c>
      <c r="F426">
        <v>40</v>
      </c>
      <c r="G426">
        <v>16</v>
      </c>
      <c r="H426" t="str">
        <f>IF(C426&lt;=_xlfn.XLOOKUP(B426,Products!A:A,Products!I:I),"REORDER REVIEW","Stock OK")</f>
        <v>Stock OK</v>
      </c>
    </row>
    <row r="427" spans="1:8">
      <c r="A427" s="2">
        <v>45809</v>
      </c>
      <c r="B427" t="s">
        <v>140</v>
      </c>
      <c r="C427">
        <v>438</v>
      </c>
      <c r="D427">
        <v>0</v>
      </c>
      <c r="E427">
        <v>84</v>
      </c>
      <c r="F427">
        <v>40</v>
      </c>
      <c r="G427">
        <v>16</v>
      </c>
      <c r="H427" t="str">
        <f>IF(C427&lt;=_xlfn.XLOOKUP(B427,Products!A:A,Products!I:I),"REORDER REVIEW","Stock OK")</f>
        <v>Stock OK</v>
      </c>
    </row>
    <row r="428" spans="1:8">
      <c r="A428" s="2">
        <v>45839</v>
      </c>
      <c r="B428" t="s">
        <v>140</v>
      </c>
      <c r="C428">
        <v>306</v>
      </c>
      <c r="D428">
        <v>0</v>
      </c>
      <c r="E428">
        <v>132</v>
      </c>
      <c r="F428">
        <v>40</v>
      </c>
      <c r="G428">
        <v>16</v>
      </c>
      <c r="H428" t="str">
        <f>IF(C428&lt;=_xlfn.XLOOKUP(B428,Products!A:A,Products!I:I),"REORDER REVIEW","Stock OK")</f>
        <v>Stock OK</v>
      </c>
    </row>
    <row r="429" spans="1:8">
      <c r="A429" s="2">
        <v>45870</v>
      </c>
      <c r="B429" t="s">
        <v>140</v>
      </c>
      <c r="C429">
        <v>166</v>
      </c>
      <c r="D429">
        <v>200</v>
      </c>
      <c r="E429">
        <v>140</v>
      </c>
      <c r="F429">
        <v>40</v>
      </c>
      <c r="G429">
        <v>16</v>
      </c>
      <c r="H429" t="str">
        <f>IF(C429&lt;=_xlfn.XLOOKUP(B429,Products!A:A,Products!I:I),"REORDER REVIEW","Stock OK")</f>
        <v>Stock OK</v>
      </c>
    </row>
    <row r="430" spans="1:8">
      <c r="A430" s="2">
        <v>45901</v>
      </c>
      <c r="B430" t="s">
        <v>140</v>
      </c>
      <c r="C430">
        <v>375</v>
      </c>
      <c r="D430">
        <v>0</v>
      </c>
      <c r="E430">
        <v>91</v>
      </c>
      <c r="F430">
        <v>40</v>
      </c>
      <c r="G430">
        <v>16</v>
      </c>
      <c r="H430" t="str">
        <f>IF(C430&lt;=_xlfn.XLOOKUP(B430,Products!A:A,Products!I:I),"REORDER REVIEW","Stock OK")</f>
        <v>Stock OK</v>
      </c>
    </row>
    <row r="431" spans="1:8">
      <c r="A431" s="2">
        <v>45931</v>
      </c>
      <c r="B431" t="s">
        <v>140</v>
      </c>
      <c r="C431">
        <v>422</v>
      </c>
      <c r="D431">
        <v>50</v>
      </c>
      <c r="E431">
        <v>153</v>
      </c>
      <c r="F431">
        <v>40</v>
      </c>
      <c r="G431">
        <v>16</v>
      </c>
      <c r="H431" t="str">
        <f>IF(C431&lt;=_xlfn.XLOOKUP(B431,Products!A:A,Products!I:I),"REORDER REVIEW","Stock OK")</f>
        <v>Stock OK</v>
      </c>
    </row>
    <row r="432" spans="1:8">
      <c r="A432" s="2">
        <v>45962</v>
      </c>
      <c r="B432" t="s">
        <v>140</v>
      </c>
      <c r="C432">
        <v>410</v>
      </c>
      <c r="D432">
        <v>0</v>
      </c>
      <c r="E432">
        <v>112</v>
      </c>
      <c r="F432">
        <v>40</v>
      </c>
      <c r="G432">
        <v>16</v>
      </c>
      <c r="H432" t="str">
        <f>IF(C432&lt;=_xlfn.XLOOKUP(B432,Products!A:A,Products!I:I),"REORDER REVIEW","Stock OK")</f>
        <v>Stock OK</v>
      </c>
    </row>
    <row r="433" spans="1:8">
      <c r="A433" s="2">
        <v>45992</v>
      </c>
      <c r="B433" t="s">
        <v>140</v>
      </c>
      <c r="C433">
        <v>471</v>
      </c>
      <c r="D433">
        <v>0</v>
      </c>
      <c r="E433">
        <v>39</v>
      </c>
      <c r="F433">
        <v>40</v>
      </c>
      <c r="G433">
        <v>16</v>
      </c>
      <c r="H433" t="str">
        <f>IF(C433&lt;=_xlfn.XLOOKUP(B433,Products!A:A,Products!I:I),"REORDER REVIEW","Stock OK")</f>
        <v>Stock OK</v>
      </c>
    </row>
    <row r="434" spans="1:8">
      <c r="A434" s="2">
        <v>45658</v>
      </c>
      <c r="B434" t="s">
        <v>142</v>
      </c>
      <c r="C434">
        <v>366</v>
      </c>
      <c r="D434">
        <v>0</v>
      </c>
      <c r="E434">
        <v>97</v>
      </c>
      <c r="F434">
        <v>254</v>
      </c>
      <c r="G434">
        <v>143</v>
      </c>
      <c r="H434" t="str">
        <f>IF(C434&lt;=_xlfn.XLOOKUP(B434,Products!A:A,Products!I:I),"REORDER REVIEW","Stock OK")</f>
        <v>Stock OK</v>
      </c>
    </row>
    <row r="435" spans="1:8">
      <c r="A435" s="2">
        <v>45689</v>
      </c>
      <c r="B435" t="s">
        <v>142</v>
      </c>
      <c r="C435">
        <v>245</v>
      </c>
      <c r="D435">
        <v>100</v>
      </c>
      <c r="E435">
        <v>121</v>
      </c>
      <c r="F435">
        <v>254</v>
      </c>
      <c r="G435">
        <v>143</v>
      </c>
      <c r="H435" t="str">
        <f>IF(C435&lt;=_xlfn.XLOOKUP(B435,Products!A:A,Products!I:I),"REORDER REVIEW","Stock OK")</f>
        <v>REORDER REVIEW</v>
      </c>
    </row>
    <row r="436" spans="1:8">
      <c r="A436" s="2">
        <v>45717</v>
      </c>
      <c r="B436" t="s">
        <v>142</v>
      </c>
      <c r="C436">
        <v>101</v>
      </c>
      <c r="D436">
        <v>100</v>
      </c>
      <c r="E436">
        <v>144</v>
      </c>
      <c r="F436">
        <v>254</v>
      </c>
      <c r="G436">
        <v>143</v>
      </c>
      <c r="H436" t="str">
        <f>IF(C436&lt;=_xlfn.XLOOKUP(B436,Products!A:A,Products!I:I),"REORDER REVIEW","Stock OK")</f>
        <v>REORDER REVIEW</v>
      </c>
    </row>
    <row r="437" spans="1:8">
      <c r="A437" s="2">
        <v>45748</v>
      </c>
      <c r="B437" t="s">
        <v>142</v>
      </c>
      <c r="C437">
        <v>0</v>
      </c>
      <c r="D437">
        <v>200</v>
      </c>
      <c r="E437">
        <v>148</v>
      </c>
      <c r="F437">
        <v>254</v>
      </c>
      <c r="G437">
        <v>143</v>
      </c>
      <c r="H437" t="str">
        <f>IF(C437&lt;=_xlfn.XLOOKUP(B437,Products!A:A,Products!I:I),"REORDER REVIEW","Stock OK")</f>
        <v>REORDER REVIEW</v>
      </c>
    </row>
    <row r="438" spans="1:8">
      <c r="A438" s="2">
        <v>45778</v>
      </c>
      <c r="B438" t="s">
        <v>142</v>
      </c>
      <c r="C438">
        <v>0</v>
      </c>
      <c r="D438">
        <v>100</v>
      </c>
      <c r="E438">
        <v>130</v>
      </c>
      <c r="F438">
        <v>254</v>
      </c>
      <c r="G438">
        <v>143</v>
      </c>
      <c r="H438" t="str">
        <f>IF(C438&lt;=_xlfn.XLOOKUP(B438,Products!A:A,Products!I:I),"REORDER REVIEW","Stock OK")</f>
        <v>REORDER REVIEW</v>
      </c>
    </row>
    <row r="439" spans="1:8">
      <c r="A439" s="2">
        <v>45809</v>
      </c>
      <c r="B439" t="s">
        <v>142</v>
      </c>
      <c r="C439">
        <v>0</v>
      </c>
      <c r="D439">
        <v>50</v>
      </c>
      <c r="E439">
        <v>88</v>
      </c>
      <c r="F439">
        <v>254</v>
      </c>
      <c r="G439">
        <v>143</v>
      </c>
      <c r="H439" t="str">
        <f>IF(C439&lt;=_xlfn.XLOOKUP(B439,Products!A:A,Products!I:I),"REORDER REVIEW","Stock OK")</f>
        <v>REORDER REVIEW</v>
      </c>
    </row>
    <row r="440" spans="1:8">
      <c r="A440" s="2">
        <v>45839</v>
      </c>
      <c r="B440" t="s">
        <v>142</v>
      </c>
      <c r="C440">
        <v>0</v>
      </c>
      <c r="D440">
        <v>50</v>
      </c>
      <c r="E440">
        <v>104</v>
      </c>
      <c r="F440">
        <v>254</v>
      </c>
      <c r="G440">
        <v>143</v>
      </c>
      <c r="H440" t="str">
        <f>IF(C440&lt;=_xlfn.XLOOKUP(B440,Products!A:A,Products!I:I),"REORDER REVIEW","Stock OK")</f>
        <v>REORDER REVIEW</v>
      </c>
    </row>
    <row r="441" spans="1:8">
      <c r="A441" s="2">
        <v>45870</v>
      </c>
      <c r="B441" t="s">
        <v>142</v>
      </c>
      <c r="C441">
        <v>0</v>
      </c>
      <c r="D441">
        <v>0</v>
      </c>
      <c r="E441">
        <v>166</v>
      </c>
      <c r="F441">
        <v>254</v>
      </c>
      <c r="G441">
        <v>143</v>
      </c>
      <c r="H441" t="str">
        <f>IF(C441&lt;=_xlfn.XLOOKUP(B441,Products!A:A,Products!I:I),"REORDER REVIEW","Stock OK")</f>
        <v>REORDER REVIEW</v>
      </c>
    </row>
    <row r="442" spans="1:8">
      <c r="A442" s="2">
        <v>45901</v>
      </c>
      <c r="B442" t="s">
        <v>142</v>
      </c>
      <c r="C442">
        <v>52</v>
      </c>
      <c r="D442">
        <v>0</v>
      </c>
      <c r="E442">
        <v>148</v>
      </c>
      <c r="F442">
        <v>254</v>
      </c>
      <c r="G442">
        <v>143</v>
      </c>
      <c r="H442" t="str">
        <f>IF(C442&lt;=_xlfn.XLOOKUP(B442,Products!A:A,Products!I:I),"REORDER REVIEW","Stock OK")</f>
        <v>REORDER REVIEW</v>
      </c>
    </row>
    <row r="443" spans="1:8">
      <c r="A443" s="2">
        <v>45931</v>
      </c>
      <c r="B443" t="s">
        <v>142</v>
      </c>
      <c r="C443">
        <v>272</v>
      </c>
      <c r="D443">
        <v>200</v>
      </c>
      <c r="E443">
        <v>80</v>
      </c>
      <c r="F443">
        <v>254</v>
      </c>
      <c r="G443">
        <v>143</v>
      </c>
      <c r="H443" t="str">
        <f>IF(C443&lt;=_xlfn.XLOOKUP(B443,Products!A:A,Products!I:I),"REORDER REVIEW","Stock OK")</f>
        <v>Stock OK</v>
      </c>
    </row>
    <row r="444" spans="1:8">
      <c r="A444" s="2">
        <v>45962</v>
      </c>
      <c r="B444" t="s">
        <v>142</v>
      </c>
      <c r="C444">
        <v>167</v>
      </c>
      <c r="D444">
        <v>0</v>
      </c>
      <c r="E444">
        <v>105</v>
      </c>
      <c r="F444">
        <v>254</v>
      </c>
      <c r="G444">
        <v>143</v>
      </c>
      <c r="H444" t="str">
        <f>IF(C444&lt;=_xlfn.XLOOKUP(B444,Products!A:A,Products!I:I),"REORDER REVIEW","Stock OK")</f>
        <v>REORDER REVIEW</v>
      </c>
    </row>
    <row r="445" spans="1:8">
      <c r="A445" s="2">
        <v>45992</v>
      </c>
      <c r="B445" t="s">
        <v>142</v>
      </c>
      <c r="C445">
        <v>0</v>
      </c>
      <c r="D445">
        <v>50</v>
      </c>
      <c r="E445">
        <v>178</v>
      </c>
      <c r="F445">
        <v>254</v>
      </c>
      <c r="G445">
        <v>143</v>
      </c>
      <c r="H445" t="str">
        <f>IF(C445&lt;=_xlfn.XLOOKUP(B445,Products!A:A,Products!I:I),"REORDER REVIEW","Stock OK")</f>
        <v>REORDER REVIEW</v>
      </c>
    </row>
    <row r="446" spans="1:8">
      <c r="A446" s="2">
        <v>45658</v>
      </c>
      <c r="B446" t="s">
        <v>144</v>
      </c>
      <c r="C446">
        <v>0</v>
      </c>
      <c r="D446">
        <v>50</v>
      </c>
      <c r="E446">
        <v>337</v>
      </c>
      <c r="F446">
        <v>506</v>
      </c>
      <c r="G446">
        <v>174</v>
      </c>
      <c r="H446" t="str">
        <f>IF(C446&lt;=_xlfn.XLOOKUP(B446,Products!A:A,Products!I:I),"REORDER REVIEW","Stock OK")</f>
        <v>REORDER REVIEW</v>
      </c>
    </row>
    <row r="447" spans="1:8">
      <c r="A447" s="2">
        <v>45689</v>
      </c>
      <c r="B447" t="s">
        <v>144</v>
      </c>
      <c r="C447">
        <v>0</v>
      </c>
      <c r="D447">
        <v>50</v>
      </c>
      <c r="E447">
        <v>303</v>
      </c>
      <c r="F447">
        <v>506</v>
      </c>
      <c r="G447">
        <v>174</v>
      </c>
      <c r="H447" t="str">
        <f>IF(C447&lt;=_xlfn.XLOOKUP(B447,Products!A:A,Products!I:I),"REORDER REVIEW","Stock OK")</f>
        <v>REORDER REVIEW</v>
      </c>
    </row>
    <row r="448" spans="1:8">
      <c r="A448" s="2">
        <v>45717</v>
      </c>
      <c r="B448" t="s">
        <v>144</v>
      </c>
      <c r="C448">
        <v>0</v>
      </c>
      <c r="D448">
        <v>100</v>
      </c>
      <c r="E448">
        <v>708</v>
      </c>
      <c r="F448">
        <v>506</v>
      </c>
      <c r="G448">
        <v>174</v>
      </c>
      <c r="H448" t="str">
        <f>IF(C448&lt;=_xlfn.XLOOKUP(B448,Products!A:A,Products!I:I),"REORDER REVIEW","Stock OK")</f>
        <v>REORDER REVIEW</v>
      </c>
    </row>
    <row r="449" spans="1:8">
      <c r="A449" s="2">
        <v>45748</v>
      </c>
      <c r="B449" t="s">
        <v>144</v>
      </c>
      <c r="C449">
        <v>0</v>
      </c>
      <c r="D449">
        <v>200</v>
      </c>
      <c r="E449">
        <v>623</v>
      </c>
      <c r="F449">
        <v>506</v>
      </c>
      <c r="G449">
        <v>174</v>
      </c>
      <c r="H449" t="str">
        <f>IF(C449&lt;=_xlfn.XLOOKUP(B449,Products!A:A,Products!I:I),"REORDER REVIEW","Stock OK")</f>
        <v>REORDER REVIEW</v>
      </c>
    </row>
    <row r="450" spans="1:8">
      <c r="A450" s="2">
        <v>45778</v>
      </c>
      <c r="B450" t="s">
        <v>144</v>
      </c>
      <c r="C450">
        <v>0</v>
      </c>
      <c r="D450">
        <v>0</v>
      </c>
      <c r="E450">
        <v>528</v>
      </c>
      <c r="F450">
        <v>506</v>
      </c>
      <c r="G450">
        <v>174</v>
      </c>
      <c r="H450" t="str">
        <f>IF(C450&lt;=_xlfn.XLOOKUP(B450,Products!A:A,Products!I:I),"REORDER REVIEW","Stock OK")</f>
        <v>REORDER REVIEW</v>
      </c>
    </row>
    <row r="451" spans="1:8">
      <c r="A451" s="2">
        <v>45809</v>
      </c>
      <c r="B451" t="s">
        <v>144</v>
      </c>
      <c r="C451">
        <v>0</v>
      </c>
      <c r="D451">
        <v>100</v>
      </c>
      <c r="E451">
        <v>557</v>
      </c>
      <c r="F451">
        <v>506</v>
      </c>
      <c r="G451">
        <v>174</v>
      </c>
      <c r="H451" t="str">
        <f>IF(C451&lt;=_xlfn.XLOOKUP(B451,Products!A:A,Products!I:I),"REORDER REVIEW","Stock OK")</f>
        <v>REORDER REVIEW</v>
      </c>
    </row>
    <row r="452" spans="1:8">
      <c r="A452" s="2">
        <v>45839</v>
      </c>
      <c r="B452" t="s">
        <v>144</v>
      </c>
      <c r="C452">
        <v>0</v>
      </c>
      <c r="D452">
        <v>50</v>
      </c>
      <c r="E452">
        <v>624</v>
      </c>
      <c r="F452">
        <v>506</v>
      </c>
      <c r="G452">
        <v>174</v>
      </c>
      <c r="H452" t="str">
        <f>IF(C452&lt;=_xlfn.XLOOKUP(B452,Products!A:A,Products!I:I),"REORDER REVIEW","Stock OK")</f>
        <v>REORDER REVIEW</v>
      </c>
    </row>
    <row r="453" spans="1:8">
      <c r="A453" s="2">
        <v>45870</v>
      </c>
      <c r="B453" t="s">
        <v>144</v>
      </c>
      <c r="C453">
        <v>0</v>
      </c>
      <c r="D453">
        <v>100</v>
      </c>
      <c r="E453">
        <v>630</v>
      </c>
      <c r="F453">
        <v>506</v>
      </c>
      <c r="G453">
        <v>174</v>
      </c>
      <c r="H453" t="str">
        <f>IF(C453&lt;=_xlfn.XLOOKUP(B453,Products!A:A,Products!I:I),"REORDER REVIEW","Stock OK")</f>
        <v>REORDER REVIEW</v>
      </c>
    </row>
    <row r="454" spans="1:8">
      <c r="A454" s="2">
        <v>45901</v>
      </c>
      <c r="B454" t="s">
        <v>144</v>
      </c>
      <c r="C454">
        <v>0</v>
      </c>
      <c r="D454">
        <v>100</v>
      </c>
      <c r="E454">
        <v>393</v>
      </c>
      <c r="F454">
        <v>506</v>
      </c>
      <c r="G454">
        <v>174</v>
      </c>
      <c r="H454" t="str">
        <f>IF(C454&lt;=_xlfn.XLOOKUP(B454,Products!A:A,Products!I:I),"REORDER REVIEW","Stock OK")</f>
        <v>REORDER REVIEW</v>
      </c>
    </row>
    <row r="455" spans="1:8">
      <c r="A455" s="2">
        <v>45931</v>
      </c>
      <c r="B455" t="s">
        <v>144</v>
      </c>
      <c r="C455">
        <v>0</v>
      </c>
      <c r="D455">
        <v>0</v>
      </c>
      <c r="E455">
        <v>447</v>
      </c>
      <c r="F455">
        <v>506</v>
      </c>
      <c r="G455">
        <v>174</v>
      </c>
      <c r="H455" t="str">
        <f>IF(C455&lt;=_xlfn.XLOOKUP(B455,Products!A:A,Products!I:I),"REORDER REVIEW","Stock OK")</f>
        <v>REORDER REVIEW</v>
      </c>
    </row>
    <row r="456" spans="1:8">
      <c r="A456" s="2">
        <v>45962</v>
      </c>
      <c r="B456" t="s">
        <v>144</v>
      </c>
      <c r="C456">
        <v>0</v>
      </c>
      <c r="D456">
        <v>0</v>
      </c>
      <c r="E456">
        <v>624</v>
      </c>
      <c r="F456">
        <v>506</v>
      </c>
      <c r="G456">
        <v>174</v>
      </c>
      <c r="H456" t="str">
        <f>IF(C456&lt;=_xlfn.XLOOKUP(B456,Products!A:A,Products!I:I),"REORDER REVIEW","Stock OK")</f>
        <v>REORDER REVIEW</v>
      </c>
    </row>
    <row r="457" spans="1:8">
      <c r="A457" s="2">
        <v>45992</v>
      </c>
      <c r="B457" t="s">
        <v>144</v>
      </c>
      <c r="C457">
        <v>0</v>
      </c>
      <c r="D457">
        <v>100</v>
      </c>
      <c r="E457">
        <v>413</v>
      </c>
      <c r="F457">
        <v>506</v>
      </c>
      <c r="G457">
        <v>174</v>
      </c>
      <c r="H457" t="str">
        <f>IF(C457&lt;=_xlfn.XLOOKUP(B457,Products!A:A,Products!I:I),"REORDER REVIEW","Stock OK")</f>
        <v>REORDER REVIEW</v>
      </c>
    </row>
    <row r="458" spans="1:8">
      <c r="A458" s="2">
        <v>45658</v>
      </c>
      <c r="B458" t="s">
        <v>146</v>
      </c>
      <c r="C458">
        <v>0</v>
      </c>
      <c r="D458">
        <v>200</v>
      </c>
      <c r="E458">
        <v>571</v>
      </c>
      <c r="F458">
        <v>349</v>
      </c>
      <c r="G458">
        <v>137</v>
      </c>
      <c r="H458" t="str">
        <f>IF(C458&lt;=_xlfn.XLOOKUP(B458,Products!A:A,Products!I:I),"REORDER REVIEW","Stock OK")</f>
        <v>REORDER REVIEW</v>
      </c>
    </row>
    <row r="459" spans="1:8">
      <c r="A459" s="2">
        <v>45689</v>
      </c>
      <c r="B459" t="s">
        <v>146</v>
      </c>
      <c r="C459">
        <v>0</v>
      </c>
      <c r="D459">
        <v>0</v>
      </c>
      <c r="E459">
        <v>324</v>
      </c>
      <c r="F459">
        <v>349</v>
      </c>
      <c r="G459">
        <v>137</v>
      </c>
      <c r="H459" t="str">
        <f>IF(C459&lt;=_xlfn.XLOOKUP(B459,Products!A:A,Products!I:I),"REORDER REVIEW","Stock OK")</f>
        <v>REORDER REVIEW</v>
      </c>
    </row>
    <row r="460" spans="1:8">
      <c r="A460" s="2">
        <v>45717</v>
      </c>
      <c r="B460" t="s">
        <v>146</v>
      </c>
      <c r="C460">
        <v>0</v>
      </c>
      <c r="D460">
        <v>50</v>
      </c>
      <c r="E460">
        <v>279</v>
      </c>
      <c r="F460">
        <v>349</v>
      </c>
      <c r="G460">
        <v>137</v>
      </c>
      <c r="H460" t="str">
        <f>IF(C460&lt;=_xlfn.XLOOKUP(B460,Products!A:A,Products!I:I),"REORDER REVIEW","Stock OK")</f>
        <v>REORDER REVIEW</v>
      </c>
    </row>
    <row r="461" spans="1:8">
      <c r="A461" s="2">
        <v>45748</v>
      </c>
      <c r="B461" t="s">
        <v>146</v>
      </c>
      <c r="C461">
        <v>0</v>
      </c>
      <c r="D461">
        <v>50</v>
      </c>
      <c r="E461">
        <v>578</v>
      </c>
      <c r="F461">
        <v>349</v>
      </c>
      <c r="G461">
        <v>137</v>
      </c>
      <c r="H461" t="str">
        <f>IF(C461&lt;=_xlfn.XLOOKUP(B461,Products!A:A,Products!I:I),"REORDER REVIEW","Stock OK")</f>
        <v>REORDER REVIEW</v>
      </c>
    </row>
    <row r="462" spans="1:8">
      <c r="A462" s="2">
        <v>45778</v>
      </c>
      <c r="B462" t="s">
        <v>146</v>
      </c>
      <c r="C462">
        <v>0</v>
      </c>
      <c r="D462">
        <v>0</v>
      </c>
      <c r="E462">
        <v>329</v>
      </c>
      <c r="F462">
        <v>349</v>
      </c>
      <c r="G462">
        <v>137</v>
      </c>
      <c r="H462" t="str">
        <f>IF(C462&lt;=_xlfn.XLOOKUP(B462,Products!A:A,Products!I:I),"REORDER REVIEW","Stock OK")</f>
        <v>REORDER REVIEW</v>
      </c>
    </row>
    <row r="463" spans="1:8">
      <c r="A463" s="2">
        <v>45809</v>
      </c>
      <c r="B463" t="s">
        <v>146</v>
      </c>
      <c r="C463">
        <v>0</v>
      </c>
      <c r="D463">
        <v>100</v>
      </c>
      <c r="E463">
        <v>702</v>
      </c>
      <c r="F463">
        <v>349</v>
      </c>
      <c r="G463">
        <v>137</v>
      </c>
      <c r="H463" t="str">
        <f>IF(C463&lt;=_xlfn.XLOOKUP(B463,Products!A:A,Products!I:I),"REORDER REVIEW","Stock OK")</f>
        <v>REORDER REVIEW</v>
      </c>
    </row>
    <row r="464" spans="1:8">
      <c r="A464" s="2">
        <v>45839</v>
      </c>
      <c r="B464" t="s">
        <v>146</v>
      </c>
      <c r="C464">
        <v>0</v>
      </c>
      <c r="D464">
        <v>0</v>
      </c>
      <c r="E464">
        <v>423</v>
      </c>
      <c r="F464">
        <v>349</v>
      </c>
      <c r="G464">
        <v>137</v>
      </c>
      <c r="H464" t="str">
        <f>IF(C464&lt;=_xlfn.XLOOKUP(B464,Products!A:A,Products!I:I),"REORDER REVIEW","Stock OK")</f>
        <v>REORDER REVIEW</v>
      </c>
    </row>
    <row r="465" spans="1:8">
      <c r="A465" s="2">
        <v>45870</v>
      </c>
      <c r="B465" t="s">
        <v>146</v>
      </c>
      <c r="C465">
        <v>0</v>
      </c>
      <c r="D465">
        <v>50</v>
      </c>
      <c r="E465">
        <v>543</v>
      </c>
      <c r="F465">
        <v>349</v>
      </c>
      <c r="G465">
        <v>137</v>
      </c>
      <c r="H465" t="str">
        <f>IF(C465&lt;=_xlfn.XLOOKUP(B465,Products!A:A,Products!I:I),"REORDER REVIEW","Stock OK")</f>
        <v>REORDER REVIEW</v>
      </c>
    </row>
    <row r="466" spans="1:8">
      <c r="A466" s="2">
        <v>45901</v>
      </c>
      <c r="B466" t="s">
        <v>146</v>
      </c>
      <c r="C466">
        <v>0</v>
      </c>
      <c r="D466">
        <v>100</v>
      </c>
      <c r="E466">
        <v>345</v>
      </c>
      <c r="F466">
        <v>349</v>
      </c>
      <c r="G466">
        <v>137</v>
      </c>
      <c r="H466" t="str">
        <f>IF(C466&lt;=_xlfn.XLOOKUP(B466,Products!A:A,Products!I:I),"REORDER REVIEW","Stock OK")</f>
        <v>REORDER REVIEW</v>
      </c>
    </row>
    <row r="467" spans="1:8">
      <c r="A467" s="2">
        <v>45931</v>
      </c>
      <c r="B467" t="s">
        <v>146</v>
      </c>
      <c r="C467">
        <v>100</v>
      </c>
      <c r="D467">
        <v>200</v>
      </c>
      <c r="E467">
        <v>200</v>
      </c>
      <c r="F467">
        <v>349</v>
      </c>
      <c r="G467">
        <v>137</v>
      </c>
      <c r="H467" t="str">
        <f>IF(C467&lt;=_xlfn.XLOOKUP(B467,Products!A:A,Products!I:I),"REORDER REVIEW","Stock OK")</f>
        <v>REORDER REVIEW</v>
      </c>
    </row>
    <row r="468" spans="1:8">
      <c r="A468" s="2">
        <v>45962</v>
      </c>
      <c r="B468" t="s">
        <v>146</v>
      </c>
      <c r="C468">
        <v>0</v>
      </c>
      <c r="D468">
        <v>200</v>
      </c>
      <c r="E468">
        <v>492</v>
      </c>
      <c r="F468">
        <v>349</v>
      </c>
      <c r="G468">
        <v>137</v>
      </c>
      <c r="H468" t="str">
        <f>IF(C468&lt;=_xlfn.XLOOKUP(B468,Products!A:A,Products!I:I),"REORDER REVIEW","Stock OK")</f>
        <v>REORDER REVIEW</v>
      </c>
    </row>
    <row r="469" spans="1:8">
      <c r="A469" s="2">
        <v>45992</v>
      </c>
      <c r="B469" t="s">
        <v>146</v>
      </c>
      <c r="C469">
        <v>0</v>
      </c>
      <c r="D469">
        <v>0</v>
      </c>
      <c r="E469">
        <v>697</v>
      </c>
      <c r="F469">
        <v>349</v>
      </c>
      <c r="G469">
        <v>137</v>
      </c>
      <c r="H469" t="str">
        <f>IF(C469&lt;=_xlfn.XLOOKUP(B469,Products!A:A,Products!I:I),"REORDER REVIEW","Stock OK")</f>
        <v>REORDER REVIEW</v>
      </c>
    </row>
    <row r="470" spans="1:8">
      <c r="A470" s="2">
        <v>45658</v>
      </c>
      <c r="B470" t="s">
        <v>148</v>
      </c>
      <c r="C470">
        <v>0</v>
      </c>
      <c r="D470">
        <v>200</v>
      </c>
      <c r="E470">
        <v>328</v>
      </c>
      <c r="F470">
        <v>354</v>
      </c>
      <c r="G470">
        <v>130</v>
      </c>
      <c r="H470" t="str">
        <f>IF(C470&lt;=_xlfn.XLOOKUP(B470,Products!A:A,Products!I:I),"REORDER REVIEW","Stock OK")</f>
        <v>REORDER REVIEW</v>
      </c>
    </row>
    <row r="471" spans="1:8">
      <c r="A471" s="2">
        <v>45689</v>
      </c>
      <c r="B471" t="s">
        <v>148</v>
      </c>
      <c r="C471">
        <v>0</v>
      </c>
      <c r="D471">
        <v>0</v>
      </c>
      <c r="E471">
        <v>377</v>
      </c>
      <c r="F471">
        <v>354</v>
      </c>
      <c r="G471">
        <v>130</v>
      </c>
      <c r="H471" t="str">
        <f>IF(C471&lt;=_xlfn.XLOOKUP(B471,Products!A:A,Products!I:I),"REORDER REVIEW","Stock OK")</f>
        <v>REORDER REVIEW</v>
      </c>
    </row>
    <row r="472" spans="1:8">
      <c r="A472" s="2">
        <v>45717</v>
      </c>
      <c r="B472" t="s">
        <v>148</v>
      </c>
      <c r="C472">
        <v>0</v>
      </c>
      <c r="D472">
        <v>100</v>
      </c>
      <c r="E472">
        <v>247</v>
      </c>
      <c r="F472">
        <v>354</v>
      </c>
      <c r="G472">
        <v>130</v>
      </c>
      <c r="H472" t="str">
        <f>IF(C472&lt;=_xlfn.XLOOKUP(B472,Products!A:A,Products!I:I),"REORDER REVIEW","Stock OK")</f>
        <v>REORDER REVIEW</v>
      </c>
    </row>
    <row r="473" spans="1:8">
      <c r="A473" s="2">
        <v>45748</v>
      </c>
      <c r="B473" t="s">
        <v>148</v>
      </c>
      <c r="C473">
        <v>0</v>
      </c>
      <c r="D473">
        <v>50</v>
      </c>
      <c r="E473">
        <v>225</v>
      </c>
      <c r="F473">
        <v>354</v>
      </c>
      <c r="G473">
        <v>130</v>
      </c>
      <c r="H473" t="str">
        <f>IF(C473&lt;=_xlfn.XLOOKUP(B473,Products!A:A,Products!I:I),"REORDER REVIEW","Stock OK")</f>
        <v>REORDER REVIEW</v>
      </c>
    </row>
    <row r="474" spans="1:8">
      <c r="A474" s="2">
        <v>45778</v>
      </c>
      <c r="B474" t="s">
        <v>148</v>
      </c>
      <c r="C474">
        <v>0</v>
      </c>
      <c r="D474">
        <v>0</v>
      </c>
      <c r="E474">
        <v>345</v>
      </c>
      <c r="F474">
        <v>354</v>
      </c>
      <c r="G474">
        <v>130</v>
      </c>
      <c r="H474" t="str">
        <f>IF(C474&lt;=_xlfn.XLOOKUP(B474,Products!A:A,Products!I:I),"REORDER REVIEW","Stock OK")</f>
        <v>REORDER REVIEW</v>
      </c>
    </row>
    <row r="475" spans="1:8">
      <c r="A475" s="2">
        <v>45809</v>
      </c>
      <c r="B475" t="s">
        <v>148</v>
      </c>
      <c r="C475">
        <v>0</v>
      </c>
      <c r="D475">
        <v>200</v>
      </c>
      <c r="E475">
        <v>93</v>
      </c>
      <c r="F475">
        <v>354</v>
      </c>
      <c r="G475">
        <v>130</v>
      </c>
      <c r="H475" t="str">
        <f>IF(C475&lt;=_xlfn.XLOOKUP(B475,Products!A:A,Products!I:I),"REORDER REVIEW","Stock OK")</f>
        <v>REORDER REVIEW</v>
      </c>
    </row>
    <row r="476" spans="1:8">
      <c r="A476" s="2">
        <v>45839</v>
      </c>
      <c r="B476" t="s">
        <v>148</v>
      </c>
      <c r="C476">
        <v>0</v>
      </c>
      <c r="D476">
        <v>200</v>
      </c>
      <c r="E476">
        <v>226</v>
      </c>
      <c r="F476">
        <v>354</v>
      </c>
      <c r="G476">
        <v>130</v>
      </c>
      <c r="H476" t="str">
        <f>IF(C476&lt;=_xlfn.XLOOKUP(B476,Products!A:A,Products!I:I),"REORDER REVIEW","Stock OK")</f>
        <v>REORDER REVIEW</v>
      </c>
    </row>
    <row r="477" spans="1:8">
      <c r="A477" s="2">
        <v>45870</v>
      </c>
      <c r="B477" t="s">
        <v>148</v>
      </c>
      <c r="C477">
        <v>0</v>
      </c>
      <c r="D477">
        <v>200</v>
      </c>
      <c r="E477">
        <v>256</v>
      </c>
      <c r="F477">
        <v>354</v>
      </c>
      <c r="G477">
        <v>130</v>
      </c>
      <c r="H477" t="str">
        <f>IF(C477&lt;=_xlfn.XLOOKUP(B477,Products!A:A,Products!I:I),"REORDER REVIEW","Stock OK")</f>
        <v>REORDER REVIEW</v>
      </c>
    </row>
    <row r="478" spans="1:8">
      <c r="A478" s="2">
        <v>45901</v>
      </c>
      <c r="B478" t="s">
        <v>148</v>
      </c>
      <c r="C478">
        <v>0</v>
      </c>
      <c r="D478">
        <v>0</v>
      </c>
      <c r="E478">
        <v>139</v>
      </c>
      <c r="F478">
        <v>354</v>
      </c>
      <c r="G478">
        <v>130</v>
      </c>
      <c r="H478" t="str">
        <f>IF(C478&lt;=_xlfn.XLOOKUP(B478,Products!A:A,Products!I:I),"REORDER REVIEW","Stock OK")</f>
        <v>REORDER REVIEW</v>
      </c>
    </row>
    <row r="479" spans="1:8">
      <c r="A479" s="2">
        <v>45931</v>
      </c>
      <c r="B479" t="s">
        <v>148</v>
      </c>
      <c r="C479">
        <v>0</v>
      </c>
      <c r="D479">
        <v>100</v>
      </c>
      <c r="E479">
        <v>276</v>
      </c>
      <c r="F479">
        <v>354</v>
      </c>
      <c r="G479">
        <v>130</v>
      </c>
      <c r="H479" t="str">
        <f>IF(C479&lt;=_xlfn.XLOOKUP(B479,Products!A:A,Products!I:I),"REORDER REVIEW","Stock OK")</f>
        <v>REORDER REVIEW</v>
      </c>
    </row>
    <row r="480" spans="1:8">
      <c r="A480" s="2">
        <v>45962</v>
      </c>
      <c r="B480" t="s">
        <v>148</v>
      </c>
      <c r="C480">
        <v>0</v>
      </c>
      <c r="D480">
        <v>100</v>
      </c>
      <c r="E480">
        <v>316</v>
      </c>
      <c r="F480">
        <v>354</v>
      </c>
      <c r="G480">
        <v>130</v>
      </c>
      <c r="H480" t="str">
        <f>IF(C480&lt;=_xlfn.XLOOKUP(B480,Products!A:A,Products!I:I),"REORDER REVIEW","Stock OK")</f>
        <v>REORDER REVIEW</v>
      </c>
    </row>
    <row r="481" spans="1:8">
      <c r="A481" s="2">
        <v>45992</v>
      </c>
      <c r="B481" t="s">
        <v>148</v>
      </c>
      <c r="C481">
        <v>0</v>
      </c>
      <c r="D481">
        <v>200</v>
      </c>
      <c r="E481">
        <v>267</v>
      </c>
      <c r="F481">
        <v>354</v>
      </c>
      <c r="G481">
        <v>130</v>
      </c>
      <c r="H481" t="str">
        <f>IF(C481&lt;=_xlfn.XLOOKUP(B481,Products!A:A,Products!I:I),"REORDER REVIEW","Stock OK")</f>
        <v>REORDER REVIEW</v>
      </c>
    </row>
    <row r="482" spans="1:8">
      <c r="A482" s="2">
        <v>45658</v>
      </c>
      <c r="B482" t="s">
        <v>150</v>
      </c>
      <c r="C482">
        <v>563</v>
      </c>
      <c r="D482">
        <v>0</v>
      </c>
      <c r="E482">
        <v>181</v>
      </c>
      <c r="F482">
        <v>186</v>
      </c>
      <c r="G482">
        <v>138</v>
      </c>
      <c r="H482" t="str">
        <f>IF(C482&lt;=_xlfn.XLOOKUP(B482,Products!A:A,Products!I:I),"REORDER REVIEW","Stock OK")</f>
        <v>Stock OK</v>
      </c>
    </row>
    <row r="483" spans="1:8">
      <c r="A483" s="2">
        <v>45689</v>
      </c>
      <c r="B483" t="s">
        <v>150</v>
      </c>
      <c r="C483">
        <v>449</v>
      </c>
      <c r="D483">
        <v>200</v>
      </c>
      <c r="E483">
        <v>114</v>
      </c>
      <c r="F483">
        <v>186</v>
      </c>
      <c r="G483">
        <v>138</v>
      </c>
      <c r="H483" t="str">
        <f>IF(C483&lt;=_xlfn.XLOOKUP(B483,Products!A:A,Products!I:I),"REORDER REVIEW","Stock OK")</f>
        <v>Stock OK</v>
      </c>
    </row>
    <row r="484" spans="1:8">
      <c r="A484" s="2">
        <v>45717</v>
      </c>
      <c r="B484" t="s">
        <v>150</v>
      </c>
      <c r="C484">
        <v>375</v>
      </c>
      <c r="D484">
        <v>0</v>
      </c>
      <c r="E484">
        <v>174</v>
      </c>
      <c r="F484">
        <v>186</v>
      </c>
      <c r="G484">
        <v>138</v>
      </c>
      <c r="H484" t="str">
        <f>IF(C484&lt;=_xlfn.XLOOKUP(B484,Products!A:A,Products!I:I),"REORDER REVIEW","Stock OK")</f>
        <v>Stock OK</v>
      </c>
    </row>
    <row r="485" spans="1:8">
      <c r="A485" s="2">
        <v>45748</v>
      </c>
      <c r="B485" t="s">
        <v>150</v>
      </c>
      <c r="C485">
        <v>291</v>
      </c>
      <c r="D485">
        <v>0</v>
      </c>
      <c r="E485">
        <v>184</v>
      </c>
      <c r="F485">
        <v>186</v>
      </c>
      <c r="G485">
        <v>138</v>
      </c>
      <c r="H485" t="str">
        <f>IF(C485&lt;=_xlfn.XLOOKUP(B485,Products!A:A,Products!I:I),"REORDER REVIEW","Stock OK")</f>
        <v>Stock OK</v>
      </c>
    </row>
    <row r="486" spans="1:8">
      <c r="A486" s="2">
        <v>45778</v>
      </c>
      <c r="B486" t="s">
        <v>150</v>
      </c>
      <c r="C486">
        <v>177</v>
      </c>
      <c r="D486">
        <v>0</v>
      </c>
      <c r="E486">
        <v>114</v>
      </c>
      <c r="F486">
        <v>186</v>
      </c>
      <c r="G486">
        <v>138</v>
      </c>
      <c r="H486" t="str">
        <f>IF(C486&lt;=_xlfn.XLOOKUP(B486,Products!A:A,Products!I:I),"REORDER REVIEW","Stock OK")</f>
        <v>REORDER REVIEW</v>
      </c>
    </row>
    <row r="487" spans="1:8">
      <c r="A487" s="2">
        <v>45809</v>
      </c>
      <c r="B487" t="s">
        <v>150</v>
      </c>
      <c r="C487">
        <v>0</v>
      </c>
      <c r="D487">
        <v>0</v>
      </c>
      <c r="E487">
        <v>196</v>
      </c>
      <c r="F487">
        <v>186</v>
      </c>
      <c r="G487">
        <v>138</v>
      </c>
      <c r="H487" t="str">
        <f>IF(C487&lt;=_xlfn.XLOOKUP(B487,Products!A:A,Products!I:I),"REORDER REVIEW","Stock OK")</f>
        <v>REORDER REVIEW</v>
      </c>
    </row>
    <row r="488" spans="1:8">
      <c r="A488" s="2">
        <v>45839</v>
      </c>
      <c r="B488" t="s">
        <v>150</v>
      </c>
      <c r="C488">
        <v>0</v>
      </c>
      <c r="D488">
        <v>50</v>
      </c>
      <c r="E488">
        <v>279</v>
      </c>
      <c r="F488">
        <v>186</v>
      </c>
      <c r="G488">
        <v>138</v>
      </c>
      <c r="H488" t="str">
        <f>IF(C488&lt;=_xlfn.XLOOKUP(B488,Products!A:A,Products!I:I),"REORDER REVIEW","Stock OK")</f>
        <v>REORDER REVIEW</v>
      </c>
    </row>
    <row r="489" spans="1:8">
      <c r="A489" s="2">
        <v>45870</v>
      </c>
      <c r="B489" t="s">
        <v>150</v>
      </c>
      <c r="C489">
        <v>19</v>
      </c>
      <c r="D489">
        <v>0</v>
      </c>
      <c r="E489">
        <v>181</v>
      </c>
      <c r="F489">
        <v>186</v>
      </c>
      <c r="G489">
        <v>138</v>
      </c>
      <c r="H489" t="str">
        <f>IF(C489&lt;=_xlfn.XLOOKUP(B489,Products!A:A,Products!I:I),"REORDER REVIEW","Stock OK")</f>
        <v>REORDER REVIEW</v>
      </c>
    </row>
    <row r="490" spans="1:8">
      <c r="A490" s="2">
        <v>45901</v>
      </c>
      <c r="B490" t="s">
        <v>150</v>
      </c>
      <c r="C490">
        <v>0</v>
      </c>
      <c r="D490">
        <v>0</v>
      </c>
      <c r="E490">
        <v>142</v>
      </c>
      <c r="F490">
        <v>186</v>
      </c>
      <c r="G490">
        <v>138</v>
      </c>
      <c r="H490" t="str">
        <f>IF(C490&lt;=_xlfn.XLOOKUP(B490,Products!A:A,Products!I:I),"REORDER REVIEW","Stock OK")</f>
        <v>REORDER REVIEW</v>
      </c>
    </row>
    <row r="491" spans="1:8">
      <c r="A491" s="2">
        <v>45931</v>
      </c>
      <c r="B491" t="s">
        <v>150</v>
      </c>
      <c r="C491">
        <v>130</v>
      </c>
      <c r="D491">
        <v>200</v>
      </c>
      <c r="E491">
        <v>170</v>
      </c>
      <c r="F491">
        <v>186</v>
      </c>
      <c r="G491">
        <v>138</v>
      </c>
      <c r="H491" t="str">
        <f>IF(C491&lt;=_xlfn.XLOOKUP(B491,Products!A:A,Products!I:I),"REORDER REVIEW","Stock OK")</f>
        <v>REORDER REVIEW</v>
      </c>
    </row>
    <row r="492" spans="1:8">
      <c r="A492" s="2">
        <v>45962</v>
      </c>
      <c r="B492" t="s">
        <v>150</v>
      </c>
      <c r="C492">
        <v>148</v>
      </c>
      <c r="D492">
        <v>200</v>
      </c>
      <c r="E492">
        <v>182</v>
      </c>
      <c r="F492">
        <v>186</v>
      </c>
      <c r="G492">
        <v>138</v>
      </c>
      <c r="H492" t="str">
        <f>IF(C492&lt;=_xlfn.XLOOKUP(B492,Products!A:A,Products!I:I),"REORDER REVIEW","Stock OK")</f>
        <v>REORDER REVIEW</v>
      </c>
    </row>
    <row r="493" spans="1:8">
      <c r="A493" s="2">
        <v>45992</v>
      </c>
      <c r="B493" t="s">
        <v>150</v>
      </c>
      <c r="C493">
        <v>0</v>
      </c>
      <c r="D493">
        <v>200</v>
      </c>
      <c r="E493">
        <v>245</v>
      </c>
      <c r="F493">
        <v>186</v>
      </c>
      <c r="G493">
        <v>138</v>
      </c>
      <c r="H493" t="str">
        <f>IF(C493&lt;=_xlfn.XLOOKUP(B493,Products!A:A,Products!I:I),"REORDER REVIEW","Stock OK")</f>
        <v>REORDER REVIEW</v>
      </c>
    </row>
    <row r="494" spans="1:8">
      <c r="A494" s="2">
        <v>45658</v>
      </c>
      <c r="B494" t="s">
        <v>152</v>
      </c>
      <c r="C494">
        <v>775</v>
      </c>
      <c r="D494">
        <v>200</v>
      </c>
      <c r="E494">
        <v>77</v>
      </c>
      <c r="F494">
        <v>250</v>
      </c>
      <c r="G494">
        <v>178</v>
      </c>
      <c r="H494" t="str">
        <f>IF(C494&lt;=_xlfn.XLOOKUP(B494,Products!A:A,Products!I:I),"REORDER REVIEW","Stock OK")</f>
        <v>Stock OK</v>
      </c>
    </row>
    <row r="495" spans="1:8">
      <c r="A495" s="2">
        <v>45689</v>
      </c>
      <c r="B495" t="s">
        <v>152</v>
      </c>
      <c r="C495">
        <v>991</v>
      </c>
      <c r="D495">
        <v>0</v>
      </c>
      <c r="E495">
        <v>84</v>
      </c>
      <c r="F495">
        <v>250</v>
      </c>
      <c r="G495">
        <v>178</v>
      </c>
      <c r="H495" t="str">
        <f>IF(C495&lt;=_xlfn.XLOOKUP(B495,Products!A:A,Products!I:I),"REORDER REVIEW","Stock OK")</f>
        <v>Stock OK</v>
      </c>
    </row>
    <row r="496" spans="1:8">
      <c r="A496" s="2">
        <v>45717</v>
      </c>
      <c r="B496" t="s">
        <v>152</v>
      </c>
      <c r="C496">
        <v>876</v>
      </c>
      <c r="D496">
        <v>200</v>
      </c>
      <c r="E496">
        <v>115</v>
      </c>
      <c r="F496">
        <v>250</v>
      </c>
      <c r="G496">
        <v>178</v>
      </c>
      <c r="H496" t="str">
        <f>IF(C496&lt;=_xlfn.XLOOKUP(B496,Products!A:A,Products!I:I),"REORDER REVIEW","Stock OK")</f>
        <v>Stock OK</v>
      </c>
    </row>
    <row r="497" spans="1:8">
      <c r="A497" s="2">
        <v>45748</v>
      </c>
      <c r="B497" t="s">
        <v>152</v>
      </c>
      <c r="C497">
        <v>710</v>
      </c>
      <c r="D497">
        <v>100</v>
      </c>
      <c r="E497">
        <v>166</v>
      </c>
      <c r="F497">
        <v>250</v>
      </c>
      <c r="G497">
        <v>178</v>
      </c>
      <c r="H497" t="str">
        <f>IF(C497&lt;=_xlfn.XLOOKUP(B497,Products!A:A,Products!I:I),"REORDER REVIEW","Stock OK")</f>
        <v>Stock OK</v>
      </c>
    </row>
    <row r="498" spans="1:8">
      <c r="A498" s="2">
        <v>45778</v>
      </c>
      <c r="B498" t="s">
        <v>152</v>
      </c>
      <c r="C498">
        <v>582</v>
      </c>
      <c r="D498">
        <v>0</v>
      </c>
      <c r="E498">
        <v>128</v>
      </c>
      <c r="F498">
        <v>250</v>
      </c>
      <c r="G498">
        <v>178</v>
      </c>
      <c r="H498" t="str">
        <f>IF(C498&lt;=_xlfn.XLOOKUP(B498,Products!A:A,Products!I:I),"REORDER REVIEW","Stock OK")</f>
        <v>Stock OK</v>
      </c>
    </row>
    <row r="499" spans="1:8">
      <c r="A499" s="2">
        <v>45809</v>
      </c>
      <c r="B499" t="s">
        <v>152</v>
      </c>
      <c r="C499">
        <v>617</v>
      </c>
      <c r="D499">
        <v>0</v>
      </c>
      <c r="E499">
        <v>65</v>
      </c>
      <c r="F499">
        <v>250</v>
      </c>
      <c r="G499">
        <v>178</v>
      </c>
      <c r="H499" t="str">
        <f>IF(C499&lt;=_xlfn.XLOOKUP(B499,Products!A:A,Products!I:I),"REORDER REVIEW","Stock OK")</f>
        <v>Stock OK</v>
      </c>
    </row>
    <row r="500" spans="1:8">
      <c r="A500" s="2">
        <v>45839</v>
      </c>
      <c r="B500" t="s">
        <v>152</v>
      </c>
      <c r="C500">
        <v>535</v>
      </c>
      <c r="D500">
        <v>50</v>
      </c>
      <c r="E500">
        <v>82</v>
      </c>
      <c r="F500">
        <v>250</v>
      </c>
      <c r="G500">
        <v>178</v>
      </c>
      <c r="H500" t="str">
        <f>IF(C500&lt;=_xlfn.XLOOKUP(B500,Products!A:A,Products!I:I),"REORDER REVIEW","Stock OK")</f>
        <v>Stock OK</v>
      </c>
    </row>
    <row r="501" spans="1:8">
      <c r="A501" s="2">
        <v>45870</v>
      </c>
      <c r="B501" t="s">
        <v>152</v>
      </c>
      <c r="C501">
        <v>555</v>
      </c>
      <c r="D501">
        <v>50</v>
      </c>
      <c r="E501">
        <v>80</v>
      </c>
      <c r="F501">
        <v>250</v>
      </c>
      <c r="G501">
        <v>178</v>
      </c>
      <c r="H501" t="str">
        <f>IF(C501&lt;=_xlfn.XLOOKUP(B501,Products!A:A,Products!I:I),"REORDER REVIEW","Stock OK")</f>
        <v>Stock OK</v>
      </c>
    </row>
    <row r="502" spans="1:8">
      <c r="A502" s="2">
        <v>45901</v>
      </c>
      <c r="B502" t="s">
        <v>152</v>
      </c>
      <c r="C502">
        <v>557</v>
      </c>
      <c r="D502">
        <v>50</v>
      </c>
      <c r="E502">
        <v>98</v>
      </c>
      <c r="F502">
        <v>250</v>
      </c>
      <c r="G502">
        <v>178</v>
      </c>
      <c r="H502" t="str">
        <f>IF(C502&lt;=_xlfn.XLOOKUP(B502,Products!A:A,Products!I:I),"REORDER REVIEW","Stock OK")</f>
        <v>Stock OK</v>
      </c>
    </row>
    <row r="503" spans="1:8">
      <c r="A503" s="2">
        <v>45931</v>
      </c>
      <c r="B503" t="s">
        <v>152</v>
      </c>
      <c r="C503">
        <v>472</v>
      </c>
      <c r="D503">
        <v>100</v>
      </c>
      <c r="E503">
        <v>85</v>
      </c>
      <c r="F503">
        <v>250</v>
      </c>
      <c r="G503">
        <v>178</v>
      </c>
      <c r="H503" t="str">
        <f>IF(C503&lt;=_xlfn.XLOOKUP(B503,Products!A:A,Products!I:I),"REORDER REVIEW","Stock OK")</f>
        <v>Stock OK</v>
      </c>
    </row>
    <row r="504" spans="1:8">
      <c r="A504" s="2">
        <v>45962</v>
      </c>
      <c r="B504" t="s">
        <v>152</v>
      </c>
      <c r="C504">
        <v>354</v>
      </c>
      <c r="D504">
        <v>50</v>
      </c>
      <c r="E504">
        <v>118</v>
      </c>
      <c r="F504">
        <v>250</v>
      </c>
      <c r="G504">
        <v>178</v>
      </c>
      <c r="H504" t="str">
        <f>IF(C504&lt;=_xlfn.XLOOKUP(B504,Products!A:A,Products!I:I),"REORDER REVIEW","Stock OK")</f>
        <v>Stock OK</v>
      </c>
    </row>
    <row r="505" spans="1:8">
      <c r="A505" s="2">
        <v>45992</v>
      </c>
      <c r="B505" t="s">
        <v>152</v>
      </c>
      <c r="C505">
        <v>212</v>
      </c>
      <c r="D505">
        <v>0</v>
      </c>
      <c r="E505">
        <v>142</v>
      </c>
      <c r="F505">
        <v>250</v>
      </c>
      <c r="G505">
        <v>178</v>
      </c>
      <c r="H505" t="str">
        <f>IF(C505&lt;=_xlfn.XLOOKUP(B505,Products!A:A,Products!I:I),"REORDER REVIEW","Stock OK")</f>
        <v>REORDER REVIEW</v>
      </c>
    </row>
    <row r="506" spans="1:8">
      <c r="A506" s="2">
        <v>45658</v>
      </c>
      <c r="B506" t="s">
        <v>154</v>
      </c>
      <c r="C506">
        <v>0</v>
      </c>
      <c r="D506">
        <v>200</v>
      </c>
      <c r="E506">
        <v>505</v>
      </c>
      <c r="F506">
        <v>624</v>
      </c>
      <c r="G506">
        <v>110</v>
      </c>
      <c r="H506" t="str">
        <f>IF(C506&lt;=_xlfn.XLOOKUP(B506,Products!A:A,Products!I:I),"REORDER REVIEW","Stock OK")</f>
        <v>REORDER REVIEW</v>
      </c>
    </row>
    <row r="507" spans="1:8">
      <c r="A507" s="2">
        <v>45689</v>
      </c>
      <c r="B507" t="s">
        <v>154</v>
      </c>
      <c r="C507">
        <v>0</v>
      </c>
      <c r="D507">
        <v>100</v>
      </c>
      <c r="E507">
        <v>345</v>
      </c>
      <c r="F507">
        <v>624</v>
      </c>
      <c r="G507">
        <v>110</v>
      </c>
      <c r="H507" t="str">
        <f>IF(C507&lt;=_xlfn.XLOOKUP(B507,Products!A:A,Products!I:I),"REORDER REVIEW","Stock OK")</f>
        <v>REORDER REVIEW</v>
      </c>
    </row>
    <row r="508" spans="1:8">
      <c r="A508" s="2">
        <v>45717</v>
      </c>
      <c r="B508" t="s">
        <v>154</v>
      </c>
      <c r="C508">
        <v>0</v>
      </c>
      <c r="D508">
        <v>100</v>
      </c>
      <c r="E508">
        <v>642</v>
      </c>
      <c r="F508">
        <v>624</v>
      </c>
      <c r="G508">
        <v>110</v>
      </c>
      <c r="H508" t="str">
        <f>IF(C508&lt;=_xlfn.XLOOKUP(B508,Products!A:A,Products!I:I),"REORDER REVIEW","Stock OK")</f>
        <v>REORDER REVIEW</v>
      </c>
    </row>
    <row r="509" spans="1:8">
      <c r="A509" s="2">
        <v>45748</v>
      </c>
      <c r="B509" t="s">
        <v>154</v>
      </c>
      <c r="C509">
        <v>0</v>
      </c>
      <c r="D509">
        <v>0</v>
      </c>
      <c r="E509">
        <v>757</v>
      </c>
      <c r="F509">
        <v>624</v>
      </c>
      <c r="G509">
        <v>110</v>
      </c>
      <c r="H509" t="str">
        <f>IF(C509&lt;=_xlfn.XLOOKUP(B509,Products!A:A,Products!I:I),"REORDER REVIEW","Stock OK")</f>
        <v>REORDER REVIEW</v>
      </c>
    </row>
    <row r="510" spans="1:8">
      <c r="A510" s="2">
        <v>45778</v>
      </c>
      <c r="B510" t="s">
        <v>154</v>
      </c>
      <c r="C510">
        <v>0</v>
      </c>
      <c r="D510">
        <v>0</v>
      </c>
      <c r="E510">
        <v>406</v>
      </c>
      <c r="F510">
        <v>624</v>
      </c>
      <c r="G510">
        <v>110</v>
      </c>
      <c r="H510" t="str">
        <f>IF(C510&lt;=_xlfn.XLOOKUP(B510,Products!A:A,Products!I:I),"REORDER REVIEW","Stock OK")</f>
        <v>REORDER REVIEW</v>
      </c>
    </row>
    <row r="511" spans="1:8">
      <c r="A511" s="2">
        <v>45809</v>
      </c>
      <c r="B511" t="s">
        <v>154</v>
      </c>
      <c r="C511">
        <v>0</v>
      </c>
      <c r="D511">
        <v>0</v>
      </c>
      <c r="E511">
        <v>816</v>
      </c>
      <c r="F511">
        <v>624</v>
      </c>
      <c r="G511">
        <v>110</v>
      </c>
      <c r="H511" t="str">
        <f>IF(C511&lt;=_xlfn.XLOOKUP(B511,Products!A:A,Products!I:I),"REORDER REVIEW","Stock OK")</f>
        <v>REORDER REVIEW</v>
      </c>
    </row>
    <row r="512" spans="1:8">
      <c r="A512" s="2">
        <v>45839</v>
      </c>
      <c r="B512" t="s">
        <v>154</v>
      </c>
      <c r="C512">
        <v>0</v>
      </c>
      <c r="D512">
        <v>50</v>
      </c>
      <c r="E512">
        <v>795</v>
      </c>
      <c r="F512">
        <v>624</v>
      </c>
      <c r="G512">
        <v>110</v>
      </c>
      <c r="H512" t="str">
        <f>IF(C512&lt;=_xlfn.XLOOKUP(B512,Products!A:A,Products!I:I),"REORDER REVIEW","Stock OK")</f>
        <v>REORDER REVIEW</v>
      </c>
    </row>
    <row r="513" spans="1:8">
      <c r="A513" s="2">
        <v>45870</v>
      </c>
      <c r="B513" t="s">
        <v>154</v>
      </c>
      <c r="C513">
        <v>0</v>
      </c>
      <c r="D513">
        <v>0</v>
      </c>
      <c r="E513">
        <v>899</v>
      </c>
      <c r="F513">
        <v>624</v>
      </c>
      <c r="G513">
        <v>110</v>
      </c>
      <c r="H513" t="str">
        <f>IF(C513&lt;=_xlfn.XLOOKUP(B513,Products!A:A,Products!I:I),"REORDER REVIEW","Stock OK")</f>
        <v>REORDER REVIEW</v>
      </c>
    </row>
    <row r="514" spans="1:8">
      <c r="A514" s="2">
        <v>45901</v>
      </c>
      <c r="B514" t="s">
        <v>154</v>
      </c>
      <c r="C514">
        <v>0</v>
      </c>
      <c r="D514">
        <v>200</v>
      </c>
      <c r="E514">
        <v>695</v>
      </c>
      <c r="F514">
        <v>624</v>
      </c>
      <c r="G514">
        <v>110</v>
      </c>
      <c r="H514" t="str">
        <f>IF(C514&lt;=_xlfn.XLOOKUP(B514,Products!A:A,Products!I:I),"REORDER REVIEW","Stock OK")</f>
        <v>REORDER REVIEW</v>
      </c>
    </row>
    <row r="515" spans="1:8">
      <c r="A515" s="2">
        <v>45931</v>
      </c>
      <c r="B515" t="s">
        <v>154</v>
      </c>
      <c r="C515">
        <v>0</v>
      </c>
      <c r="D515">
        <v>0</v>
      </c>
      <c r="E515">
        <v>724</v>
      </c>
      <c r="F515">
        <v>624</v>
      </c>
      <c r="G515">
        <v>110</v>
      </c>
      <c r="H515" t="str">
        <f>IF(C515&lt;=_xlfn.XLOOKUP(B515,Products!A:A,Products!I:I),"REORDER REVIEW","Stock OK")</f>
        <v>REORDER REVIEW</v>
      </c>
    </row>
    <row r="516" spans="1:8">
      <c r="A516" s="2">
        <v>45962</v>
      </c>
      <c r="B516" t="s">
        <v>154</v>
      </c>
      <c r="C516">
        <v>0</v>
      </c>
      <c r="D516">
        <v>0</v>
      </c>
      <c r="E516">
        <v>678</v>
      </c>
      <c r="F516">
        <v>624</v>
      </c>
      <c r="G516">
        <v>110</v>
      </c>
      <c r="H516" t="str">
        <f>IF(C516&lt;=_xlfn.XLOOKUP(B516,Products!A:A,Products!I:I),"REORDER REVIEW","Stock OK")</f>
        <v>REORDER REVIEW</v>
      </c>
    </row>
    <row r="517" spans="1:8">
      <c r="A517" s="2">
        <v>45992</v>
      </c>
      <c r="B517" t="s">
        <v>154</v>
      </c>
      <c r="C517">
        <v>0</v>
      </c>
      <c r="D517">
        <v>100</v>
      </c>
      <c r="E517">
        <v>806</v>
      </c>
      <c r="F517">
        <v>624</v>
      </c>
      <c r="G517">
        <v>110</v>
      </c>
      <c r="H517" t="str">
        <f>IF(C517&lt;=_xlfn.XLOOKUP(B517,Products!A:A,Products!I:I),"REORDER REVIEW","Stock OK")</f>
        <v>REORDER REVIEW</v>
      </c>
    </row>
    <row r="518" spans="1:8">
      <c r="A518" s="2">
        <v>45658</v>
      </c>
      <c r="B518" t="s">
        <v>156</v>
      </c>
      <c r="C518">
        <v>0</v>
      </c>
      <c r="D518">
        <v>0</v>
      </c>
      <c r="E518">
        <v>298</v>
      </c>
      <c r="F518">
        <v>215</v>
      </c>
      <c r="G518">
        <v>118</v>
      </c>
      <c r="H518" t="str">
        <f>IF(C518&lt;=_xlfn.XLOOKUP(B518,Products!A:A,Products!I:I),"REORDER REVIEW","Stock OK")</f>
        <v>REORDER REVIEW</v>
      </c>
    </row>
    <row r="519" spans="1:8">
      <c r="A519" s="2">
        <v>45689</v>
      </c>
      <c r="B519" t="s">
        <v>156</v>
      </c>
      <c r="C519">
        <v>0</v>
      </c>
      <c r="D519">
        <v>0</v>
      </c>
      <c r="E519">
        <v>439</v>
      </c>
      <c r="F519">
        <v>215</v>
      </c>
      <c r="G519">
        <v>118</v>
      </c>
      <c r="H519" t="str">
        <f>IF(C519&lt;=_xlfn.XLOOKUP(B519,Products!A:A,Products!I:I),"REORDER REVIEW","Stock OK")</f>
        <v>REORDER REVIEW</v>
      </c>
    </row>
    <row r="520" spans="1:8">
      <c r="A520" s="2">
        <v>45717</v>
      </c>
      <c r="B520" t="s">
        <v>156</v>
      </c>
      <c r="C520">
        <v>0</v>
      </c>
      <c r="D520">
        <v>50</v>
      </c>
      <c r="E520">
        <v>358</v>
      </c>
      <c r="F520">
        <v>215</v>
      </c>
      <c r="G520">
        <v>118</v>
      </c>
      <c r="H520" t="str">
        <f>IF(C520&lt;=_xlfn.XLOOKUP(B520,Products!A:A,Products!I:I),"REORDER REVIEW","Stock OK")</f>
        <v>REORDER REVIEW</v>
      </c>
    </row>
    <row r="521" spans="1:8">
      <c r="A521" s="2">
        <v>45748</v>
      </c>
      <c r="B521" t="s">
        <v>156</v>
      </c>
      <c r="C521">
        <v>0</v>
      </c>
      <c r="D521">
        <v>50</v>
      </c>
      <c r="E521">
        <v>140</v>
      </c>
      <c r="F521">
        <v>215</v>
      </c>
      <c r="G521">
        <v>118</v>
      </c>
      <c r="H521" t="str">
        <f>IF(C521&lt;=_xlfn.XLOOKUP(B521,Products!A:A,Products!I:I),"REORDER REVIEW","Stock OK")</f>
        <v>REORDER REVIEW</v>
      </c>
    </row>
    <row r="522" spans="1:8">
      <c r="A522" s="2">
        <v>45778</v>
      </c>
      <c r="B522" t="s">
        <v>156</v>
      </c>
      <c r="C522">
        <v>0</v>
      </c>
      <c r="D522">
        <v>0</v>
      </c>
      <c r="E522">
        <v>387</v>
      </c>
      <c r="F522">
        <v>215</v>
      </c>
      <c r="G522">
        <v>118</v>
      </c>
      <c r="H522" t="str">
        <f>IF(C522&lt;=_xlfn.XLOOKUP(B522,Products!A:A,Products!I:I),"REORDER REVIEW","Stock OK")</f>
        <v>REORDER REVIEW</v>
      </c>
    </row>
    <row r="523" spans="1:8">
      <c r="A523" s="2">
        <v>45809</v>
      </c>
      <c r="B523" t="s">
        <v>156</v>
      </c>
      <c r="C523">
        <v>0</v>
      </c>
      <c r="D523">
        <v>50</v>
      </c>
      <c r="E523">
        <v>394</v>
      </c>
      <c r="F523">
        <v>215</v>
      </c>
      <c r="G523">
        <v>118</v>
      </c>
      <c r="H523" t="str">
        <f>IF(C523&lt;=_xlfn.XLOOKUP(B523,Products!A:A,Products!I:I),"REORDER REVIEW","Stock OK")</f>
        <v>REORDER REVIEW</v>
      </c>
    </row>
    <row r="524" spans="1:8">
      <c r="A524" s="2">
        <v>45839</v>
      </c>
      <c r="B524" t="s">
        <v>156</v>
      </c>
      <c r="C524">
        <v>0</v>
      </c>
      <c r="D524">
        <v>50</v>
      </c>
      <c r="E524">
        <v>414</v>
      </c>
      <c r="F524">
        <v>215</v>
      </c>
      <c r="G524">
        <v>118</v>
      </c>
      <c r="H524" t="str">
        <f>IF(C524&lt;=_xlfn.XLOOKUP(B524,Products!A:A,Products!I:I),"REORDER REVIEW","Stock OK")</f>
        <v>REORDER REVIEW</v>
      </c>
    </row>
    <row r="525" spans="1:8">
      <c r="A525" s="2">
        <v>45870</v>
      </c>
      <c r="B525" t="s">
        <v>156</v>
      </c>
      <c r="C525">
        <v>108</v>
      </c>
      <c r="D525">
        <v>0</v>
      </c>
      <c r="E525">
        <v>192</v>
      </c>
      <c r="F525">
        <v>215</v>
      </c>
      <c r="G525">
        <v>118</v>
      </c>
      <c r="H525" t="str">
        <f>IF(C525&lt;=_xlfn.XLOOKUP(B525,Products!A:A,Products!I:I),"REORDER REVIEW","Stock OK")</f>
        <v>REORDER REVIEW</v>
      </c>
    </row>
    <row r="526" spans="1:8">
      <c r="A526" s="2">
        <v>45901</v>
      </c>
      <c r="B526" t="s">
        <v>156</v>
      </c>
      <c r="C526">
        <v>0</v>
      </c>
      <c r="D526">
        <v>200</v>
      </c>
      <c r="E526">
        <v>418</v>
      </c>
      <c r="F526">
        <v>215</v>
      </c>
      <c r="G526">
        <v>118</v>
      </c>
      <c r="H526" t="str">
        <f>IF(C526&lt;=_xlfn.XLOOKUP(B526,Products!A:A,Products!I:I),"REORDER REVIEW","Stock OK")</f>
        <v>REORDER REVIEW</v>
      </c>
    </row>
    <row r="527" spans="1:8">
      <c r="A527" s="2">
        <v>45931</v>
      </c>
      <c r="B527" t="s">
        <v>156</v>
      </c>
      <c r="C527">
        <v>0</v>
      </c>
      <c r="D527">
        <v>0</v>
      </c>
      <c r="E527">
        <v>255</v>
      </c>
      <c r="F527">
        <v>215</v>
      </c>
      <c r="G527">
        <v>118</v>
      </c>
      <c r="H527" t="str">
        <f>IF(C527&lt;=_xlfn.XLOOKUP(B527,Products!A:A,Products!I:I),"REORDER REVIEW","Stock OK")</f>
        <v>REORDER REVIEW</v>
      </c>
    </row>
    <row r="528" spans="1:8">
      <c r="A528" s="2">
        <v>45962</v>
      </c>
      <c r="B528" t="s">
        <v>156</v>
      </c>
      <c r="C528">
        <v>0</v>
      </c>
      <c r="D528">
        <v>0</v>
      </c>
      <c r="E528">
        <v>304</v>
      </c>
      <c r="F528">
        <v>215</v>
      </c>
      <c r="G528">
        <v>118</v>
      </c>
      <c r="H528" t="str">
        <f>IF(C528&lt;=_xlfn.XLOOKUP(B528,Products!A:A,Products!I:I),"REORDER REVIEW","Stock OK")</f>
        <v>REORDER REVIEW</v>
      </c>
    </row>
    <row r="529" spans="1:8">
      <c r="A529" s="2">
        <v>45992</v>
      </c>
      <c r="B529" t="s">
        <v>156</v>
      </c>
      <c r="C529">
        <v>0</v>
      </c>
      <c r="D529">
        <v>0</v>
      </c>
      <c r="E529">
        <v>267</v>
      </c>
      <c r="F529">
        <v>215</v>
      </c>
      <c r="G529">
        <v>118</v>
      </c>
      <c r="H529" t="str">
        <f>IF(C529&lt;=_xlfn.XLOOKUP(B529,Products!A:A,Products!I:I),"REORDER REVIEW","Stock OK")</f>
        <v>REORDER REVIEW</v>
      </c>
    </row>
    <row r="530" spans="1:8">
      <c r="A530" s="2">
        <v>45658</v>
      </c>
      <c r="B530" t="s">
        <v>158</v>
      </c>
      <c r="C530">
        <v>0</v>
      </c>
      <c r="D530">
        <v>0</v>
      </c>
      <c r="E530">
        <v>444</v>
      </c>
      <c r="F530">
        <v>332</v>
      </c>
      <c r="G530">
        <v>165</v>
      </c>
      <c r="H530" t="str">
        <f>IF(C530&lt;=_xlfn.XLOOKUP(B530,Products!A:A,Products!I:I),"REORDER REVIEW","Stock OK")</f>
        <v>REORDER REVIEW</v>
      </c>
    </row>
    <row r="531" spans="1:8">
      <c r="A531" s="2">
        <v>45689</v>
      </c>
      <c r="B531" t="s">
        <v>158</v>
      </c>
      <c r="C531">
        <v>0</v>
      </c>
      <c r="D531">
        <v>0</v>
      </c>
      <c r="E531">
        <v>851</v>
      </c>
      <c r="F531">
        <v>332</v>
      </c>
      <c r="G531">
        <v>165</v>
      </c>
      <c r="H531" t="str">
        <f>IF(C531&lt;=_xlfn.XLOOKUP(B531,Products!A:A,Products!I:I),"REORDER REVIEW","Stock OK")</f>
        <v>REORDER REVIEW</v>
      </c>
    </row>
    <row r="532" spans="1:8">
      <c r="A532" s="2">
        <v>45717</v>
      </c>
      <c r="B532" t="s">
        <v>158</v>
      </c>
      <c r="C532">
        <v>0</v>
      </c>
      <c r="D532">
        <v>0</v>
      </c>
      <c r="E532">
        <v>661</v>
      </c>
      <c r="F532">
        <v>332</v>
      </c>
      <c r="G532">
        <v>165</v>
      </c>
      <c r="H532" t="str">
        <f>IF(C532&lt;=_xlfn.XLOOKUP(B532,Products!A:A,Products!I:I),"REORDER REVIEW","Stock OK")</f>
        <v>REORDER REVIEW</v>
      </c>
    </row>
    <row r="533" spans="1:8">
      <c r="A533" s="2">
        <v>45748</v>
      </c>
      <c r="B533" t="s">
        <v>158</v>
      </c>
      <c r="C533">
        <v>0</v>
      </c>
      <c r="D533">
        <v>0</v>
      </c>
      <c r="E533">
        <v>463</v>
      </c>
      <c r="F533">
        <v>332</v>
      </c>
      <c r="G533">
        <v>165</v>
      </c>
      <c r="H533" t="str">
        <f>IF(C533&lt;=_xlfn.XLOOKUP(B533,Products!A:A,Products!I:I),"REORDER REVIEW","Stock OK")</f>
        <v>REORDER REVIEW</v>
      </c>
    </row>
    <row r="534" spans="1:8">
      <c r="A534" s="2">
        <v>45778</v>
      </c>
      <c r="B534" t="s">
        <v>158</v>
      </c>
      <c r="C534">
        <v>0</v>
      </c>
      <c r="D534">
        <v>0</v>
      </c>
      <c r="E534">
        <v>684</v>
      </c>
      <c r="F534">
        <v>332</v>
      </c>
      <c r="G534">
        <v>165</v>
      </c>
      <c r="H534" t="str">
        <f>IF(C534&lt;=_xlfn.XLOOKUP(B534,Products!A:A,Products!I:I),"REORDER REVIEW","Stock OK")</f>
        <v>REORDER REVIEW</v>
      </c>
    </row>
    <row r="535" spans="1:8">
      <c r="A535" s="2">
        <v>45809</v>
      </c>
      <c r="B535" t="s">
        <v>158</v>
      </c>
      <c r="C535">
        <v>0</v>
      </c>
      <c r="D535">
        <v>50</v>
      </c>
      <c r="E535">
        <v>561</v>
      </c>
      <c r="F535">
        <v>332</v>
      </c>
      <c r="G535">
        <v>165</v>
      </c>
      <c r="H535" t="str">
        <f>IF(C535&lt;=_xlfn.XLOOKUP(B535,Products!A:A,Products!I:I),"REORDER REVIEW","Stock OK")</f>
        <v>REORDER REVIEW</v>
      </c>
    </row>
    <row r="536" spans="1:8">
      <c r="A536" s="2">
        <v>45839</v>
      </c>
      <c r="B536" t="s">
        <v>158</v>
      </c>
      <c r="C536">
        <v>0</v>
      </c>
      <c r="D536">
        <v>50</v>
      </c>
      <c r="E536">
        <v>479</v>
      </c>
      <c r="F536">
        <v>332</v>
      </c>
      <c r="G536">
        <v>165</v>
      </c>
      <c r="H536" t="str">
        <f>IF(C536&lt;=_xlfn.XLOOKUP(B536,Products!A:A,Products!I:I),"REORDER REVIEW","Stock OK")</f>
        <v>REORDER REVIEW</v>
      </c>
    </row>
    <row r="537" spans="1:8">
      <c r="A537" s="2">
        <v>45870</v>
      </c>
      <c r="B537" t="s">
        <v>158</v>
      </c>
      <c r="C537">
        <v>0</v>
      </c>
      <c r="D537">
        <v>200</v>
      </c>
      <c r="E537">
        <v>801</v>
      </c>
      <c r="F537">
        <v>332</v>
      </c>
      <c r="G537">
        <v>165</v>
      </c>
      <c r="H537" t="str">
        <f>IF(C537&lt;=_xlfn.XLOOKUP(B537,Products!A:A,Products!I:I),"REORDER REVIEW","Stock OK")</f>
        <v>REORDER REVIEW</v>
      </c>
    </row>
    <row r="538" spans="1:8">
      <c r="A538" s="2">
        <v>45901</v>
      </c>
      <c r="B538" t="s">
        <v>158</v>
      </c>
      <c r="C538">
        <v>0</v>
      </c>
      <c r="D538">
        <v>100</v>
      </c>
      <c r="E538">
        <v>645</v>
      </c>
      <c r="F538">
        <v>332</v>
      </c>
      <c r="G538">
        <v>165</v>
      </c>
      <c r="H538" t="str">
        <f>IF(C538&lt;=_xlfn.XLOOKUP(B538,Products!A:A,Products!I:I),"REORDER REVIEW","Stock OK")</f>
        <v>REORDER REVIEW</v>
      </c>
    </row>
    <row r="539" spans="1:8">
      <c r="A539" s="2">
        <v>45931</v>
      </c>
      <c r="B539" t="s">
        <v>158</v>
      </c>
      <c r="C539">
        <v>0</v>
      </c>
      <c r="D539">
        <v>0</v>
      </c>
      <c r="E539">
        <v>616</v>
      </c>
      <c r="F539">
        <v>332</v>
      </c>
      <c r="G539">
        <v>165</v>
      </c>
      <c r="H539" t="str">
        <f>IF(C539&lt;=_xlfn.XLOOKUP(B539,Products!A:A,Products!I:I),"REORDER REVIEW","Stock OK")</f>
        <v>REORDER REVIEW</v>
      </c>
    </row>
    <row r="540" spans="1:8">
      <c r="A540" s="2">
        <v>45962</v>
      </c>
      <c r="B540" t="s">
        <v>158</v>
      </c>
      <c r="C540">
        <v>0</v>
      </c>
      <c r="D540">
        <v>200</v>
      </c>
      <c r="E540">
        <v>692</v>
      </c>
      <c r="F540">
        <v>332</v>
      </c>
      <c r="G540">
        <v>165</v>
      </c>
      <c r="H540" t="str">
        <f>IF(C540&lt;=_xlfn.XLOOKUP(B540,Products!A:A,Products!I:I),"REORDER REVIEW","Stock OK")</f>
        <v>REORDER REVIEW</v>
      </c>
    </row>
    <row r="541" spans="1:8">
      <c r="A541" s="2">
        <v>45992</v>
      </c>
      <c r="B541" t="s">
        <v>158</v>
      </c>
      <c r="C541">
        <v>0</v>
      </c>
      <c r="D541">
        <v>0</v>
      </c>
      <c r="E541">
        <v>721</v>
      </c>
      <c r="F541">
        <v>332</v>
      </c>
      <c r="G541">
        <v>165</v>
      </c>
      <c r="H541" t="str">
        <f>IF(C541&lt;=_xlfn.XLOOKUP(B541,Products!A:A,Products!I:I),"REORDER REVIEW","Stock OK")</f>
        <v>REORDER REVIEW</v>
      </c>
    </row>
    <row r="542" spans="1:8">
      <c r="A542" s="2">
        <v>45658</v>
      </c>
      <c r="B542" t="s">
        <v>160</v>
      </c>
      <c r="C542">
        <v>686</v>
      </c>
      <c r="D542">
        <v>100</v>
      </c>
      <c r="E542">
        <v>69</v>
      </c>
      <c r="F542">
        <v>207</v>
      </c>
      <c r="G542">
        <v>158</v>
      </c>
      <c r="H542" t="str">
        <f>IF(C542&lt;=_xlfn.XLOOKUP(B542,Products!A:A,Products!I:I),"REORDER REVIEW","Stock OK")</f>
        <v>Stock OK</v>
      </c>
    </row>
    <row r="543" spans="1:8">
      <c r="A543" s="2">
        <v>45689</v>
      </c>
      <c r="B543" t="s">
        <v>160</v>
      </c>
      <c r="C543">
        <v>815</v>
      </c>
      <c r="D543">
        <v>100</v>
      </c>
      <c r="E543">
        <v>71</v>
      </c>
      <c r="F543">
        <v>207</v>
      </c>
      <c r="G543">
        <v>158</v>
      </c>
      <c r="H543" t="str">
        <f>IF(C543&lt;=_xlfn.XLOOKUP(B543,Products!A:A,Products!I:I),"REORDER REVIEW","Stock OK")</f>
        <v>Stock OK</v>
      </c>
    </row>
    <row r="544" spans="1:8">
      <c r="A544" s="2">
        <v>45717</v>
      </c>
      <c r="B544" t="s">
        <v>160</v>
      </c>
      <c r="C544">
        <v>743</v>
      </c>
      <c r="D544">
        <v>50</v>
      </c>
      <c r="E544">
        <v>72</v>
      </c>
      <c r="F544">
        <v>207</v>
      </c>
      <c r="G544">
        <v>158</v>
      </c>
      <c r="H544" t="str">
        <f>IF(C544&lt;=_xlfn.XLOOKUP(B544,Products!A:A,Products!I:I),"REORDER REVIEW","Stock OK")</f>
        <v>Stock OK</v>
      </c>
    </row>
    <row r="545" spans="1:8">
      <c r="A545" s="2">
        <v>45748</v>
      </c>
      <c r="B545" t="s">
        <v>160</v>
      </c>
      <c r="C545">
        <v>662</v>
      </c>
      <c r="D545">
        <v>100</v>
      </c>
      <c r="E545">
        <v>81</v>
      </c>
      <c r="F545">
        <v>207</v>
      </c>
      <c r="G545">
        <v>158</v>
      </c>
      <c r="H545" t="str">
        <f>IF(C545&lt;=_xlfn.XLOOKUP(B545,Products!A:A,Products!I:I),"REORDER REVIEW","Stock OK")</f>
        <v>Stock OK</v>
      </c>
    </row>
    <row r="546" spans="1:8">
      <c r="A546" s="2">
        <v>45778</v>
      </c>
      <c r="B546" t="s">
        <v>160</v>
      </c>
      <c r="C546">
        <v>565</v>
      </c>
      <c r="D546">
        <v>200</v>
      </c>
      <c r="E546">
        <v>97</v>
      </c>
      <c r="F546">
        <v>207</v>
      </c>
      <c r="G546">
        <v>158</v>
      </c>
      <c r="H546" t="str">
        <f>IF(C546&lt;=_xlfn.XLOOKUP(B546,Products!A:A,Products!I:I),"REORDER REVIEW","Stock OK")</f>
        <v>Stock OK</v>
      </c>
    </row>
    <row r="547" spans="1:8">
      <c r="A547" s="2">
        <v>45809</v>
      </c>
      <c r="B547" t="s">
        <v>160</v>
      </c>
      <c r="C547">
        <v>499</v>
      </c>
      <c r="D547">
        <v>100</v>
      </c>
      <c r="E547">
        <v>66</v>
      </c>
      <c r="F547">
        <v>207</v>
      </c>
      <c r="G547">
        <v>158</v>
      </c>
      <c r="H547" t="str">
        <f>IF(C547&lt;=_xlfn.XLOOKUP(B547,Products!A:A,Products!I:I),"REORDER REVIEW","Stock OK")</f>
        <v>Stock OK</v>
      </c>
    </row>
    <row r="548" spans="1:8">
      <c r="A548" s="2">
        <v>45839</v>
      </c>
      <c r="B548" t="s">
        <v>160</v>
      </c>
      <c r="C548">
        <v>630</v>
      </c>
      <c r="D548">
        <v>100</v>
      </c>
      <c r="E548">
        <v>69</v>
      </c>
      <c r="F548">
        <v>207</v>
      </c>
      <c r="G548">
        <v>158</v>
      </c>
      <c r="H548" t="str">
        <f>IF(C548&lt;=_xlfn.XLOOKUP(B548,Products!A:A,Products!I:I),"REORDER REVIEW","Stock OK")</f>
        <v>Stock OK</v>
      </c>
    </row>
    <row r="549" spans="1:8">
      <c r="A549" s="2">
        <v>45870</v>
      </c>
      <c r="B549" t="s">
        <v>160</v>
      </c>
      <c r="C549">
        <v>778</v>
      </c>
      <c r="D549">
        <v>0</v>
      </c>
      <c r="E549">
        <v>52</v>
      </c>
      <c r="F549">
        <v>207</v>
      </c>
      <c r="G549">
        <v>158</v>
      </c>
      <c r="H549" t="str">
        <f>IF(C549&lt;=_xlfn.XLOOKUP(B549,Products!A:A,Products!I:I),"REORDER REVIEW","Stock OK")</f>
        <v>Stock OK</v>
      </c>
    </row>
    <row r="550" spans="1:8">
      <c r="A550" s="2">
        <v>45901</v>
      </c>
      <c r="B550" t="s">
        <v>160</v>
      </c>
      <c r="C550">
        <v>889</v>
      </c>
      <c r="D550">
        <v>200</v>
      </c>
      <c r="E550">
        <v>89</v>
      </c>
      <c r="F550">
        <v>207</v>
      </c>
      <c r="G550">
        <v>158</v>
      </c>
      <c r="H550" t="str">
        <f>IF(C550&lt;=_xlfn.XLOOKUP(B550,Products!A:A,Products!I:I),"REORDER REVIEW","Stock OK")</f>
        <v>Stock OK</v>
      </c>
    </row>
    <row r="551" spans="1:8">
      <c r="A551" s="2">
        <v>45931</v>
      </c>
      <c r="B551" t="s">
        <v>160</v>
      </c>
      <c r="C551">
        <v>1010</v>
      </c>
      <c r="D551">
        <v>50</v>
      </c>
      <c r="E551">
        <v>79</v>
      </c>
      <c r="F551">
        <v>207</v>
      </c>
      <c r="G551">
        <v>158</v>
      </c>
      <c r="H551" t="str">
        <f>IF(C551&lt;=_xlfn.XLOOKUP(B551,Products!A:A,Products!I:I),"REORDER REVIEW","Stock OK")</f>
        <v>Stock OK</v>
      </c>
    </row>
    <row r="552" spans="1:8">
      <c r="A552" s="2">
        <v>45962</v>
      </c>
      <c r="B552" t="s">
        <v>160</v>
      </c>
      <c r="C552">
        <v>997</v>
      </c>
      <c r="D552">
        <v>50</v>
      </c>
      <c r="E552">
        <v>113</v>
      </c>
      <c r="F552">
        <v>207</v>
      </c>
      <c r="G552">
        <v>158</v>
      </c>
      <c r="H552" t="str">
        <f>IF(C552&lt;=_xlfn.XLOOKUP(B552,Products!A:A,Products!I:I),"REORDER REVIEW","Stock OK")</f>
        <v>Stock OK</v>
      </c>
    </row>
    <row r="553" spans="1:8">
      <c r="A553" s="2">
        <v>45992</v>
      </c>
      <c r="B553" t="s">
        <v>160</v>
      </c>
      <c r="C553">
        <v>1129</v>
      </c>
      <c r="D553">
        <v>0</v>
      </c>
      <c r="E553">
        <v>68</v>
      </c>
      <c r="F553">
        <v>207</v>
      </c>
      <c r="G553">
        <v>158</v>
      </c>
      <c r="H553" t="str">
        <f>IF(C553&lt;=_xlfn.XLOOKUP(B553,Products!A:A,Products!I:I),"REORDER REVIEW","Stock OK")</f>
        <v>Stock OK</v>
      </c>
    </row>
    <row r="554" spans="1:8">
      <c r="A554" s="2">
        <v>45658</v>
      </c>
      <c r="B554" t="s">
        <v>162</v>
      </c>
      <c r="C554">
        <v>0</v>
      </c>
      <c r="D554">
        <v>200</v>
      </c>
      <c r="E554">
        <v>261</v>
      </c>
      <c r="F554">
        <v>112</v>
      </c>
      <c r="G554">
        <v>62</v>
      </c>
      <c r="H554" t="str">
        <f>IF(C554&lt;=_xlfn.XLOOKUP(B554,Products!A:A,Products!I:I),"REORDER REVIEW","Stock OK")</f>
        <v>REORDER REVIEW</v>
      </c>
    </row>
    <row r="555" spans="1:8">
      <c r="A555" s="2">
        <v>45689</v>
      </c>
      <c r="B555" t="s">
        <v>162</v>
      </c>
      <c r="C555">
        <v>0</v>
      </c>
      <c r="D555">
        <v>0</v>
      </c>
      <c r="E555">
        <v>268</v>
      </c>
      <c r="F555">
        <v>112</v>
      </c>
      <c r="G555">
        <v>62</v>
      </c>
      <c r="H555" t="str">
        <f>IF(C555&lt;=_xlfn.XLOOKUP(B555,Products!A:A,Products!I:I),"REORDER REVIEW","Stock OK")</f>
        <v>REORDER REVIEW</v>
      </c>
    </row>
    <row r="556" spans="1:8">
      <c r="A556" s="2">
        <v>45717</v>
      </c>
      <c r="B556" t="s">
        <v>162</v>
      </c>
      <c r="C556">
        <v>133</v>
      </c>
      <c r="D556">
        <v>0</v>
      </c>
      <c r="E556">
        <v>167</v>
      </c>
      <c r="F556">
        <v>112</v>
      </c>
      <c r="G556">
        <v>62</v>
      </c>
      <c r="H556" t="str">
        <f>IF(C556&lt;=_xlfn.XLOOKUP(B556,Products!A:A,Products!I:I),"REORDER REVIEW","Stock OK")</f>
        <v>Stock OK</v>
      </c>
    </row>
    <row r="557" spans="1:8">
      <c r="A557" s="2">
        <v>45748</v>
      </c>
      <c r="B557" t="s">
        <v>162</v>
      </c>
      <c r="C557">
        <v>202</v>
      </c>
      <c r="D557">
        <v>100</v>
      </c>
      <c r="E557">
        <v>131</v>
      </c>
      <c r="F557">
        <v>112</v>
      </c>
      <c r="G557">
        <v>62</v>
      </c>
      <c r="H557" t="str">
        <f>IF(C557&lt;=_xlfn.XLOOKUP(B557,Products!A:A,Products!I:I),"REORDER REVIEW","Stock OK")</f>
        <v>Stock OK</v>
      </c>
    </row>
    <row r="558" spans="1:8">
      <c r="A558" s="2">
        <v>45778</v>
      </c>
      <c r="B558" t="s">
        <v>162</v>
      </c>
      <c r="C558">
        <v>99</v>
      </c>
      <c r="D558">
        <v>200</v>
      </c>
      <c r="E558">
        <v>103</v>
      </c>
      <c r="F558">
        <v>112</v>
      </c>
      <c r="G558">
        <v>62</v>
      </c>
      <c r="H558" t="str">
        <f>IF(C558&lt;=_xlfn.XLOOKUP(B558,Products!A:A,Products!I:I),"REORDER REVIEW","Stock OK")</f>
        <v>REORDER REVIEW</v>
      </c>
    </row>
    <row r="559" spans="1:8">
      <c r="A559" s="2">
        <v>45809</v>
      </c>
      <c r="B559" t="s">
        <v>162</v>
      </c>
      <c r="C559">
        <v>0</v>
      </c>
      <c r="D559">
        <v>200</v>
      </c>
      <c r="E559">
        <v>282</v>
      </c>
      <c r="F559">
        <v>112</v>
      </c>
      <c r="G559">
        <v>62</v>
      </c>
      <c r="H559" t="str">
        <f>IF(C559&lt;=_xlfn.XLOOKUP(B559,Products!A:A,Products!I:I),"REORDER REVIEW","Stock OK")</f>
        <v>REORDER REVIEW</v>
      </c>
    </row>
    <row r="560" spans="1:8">
      <c r="A560" s="2">
        <v>45839</v>
      </c>
      <c r="B560" t="s">
        <v>162</v>
      </c>
      <c r="C560">
        <v>0</v>
      </c>
      <c r="D560">
        <v>0</v>
      </c>
      <c r="E560">
        <v>135</v>
      </c>
      <c r="F560">
        <v>112</v>
      </c>
      <c r="G560">
        <v>62</v>
      </c>
      <c r="H560" t="str">
        <f>IF(C560&lt;=_xlfn.XLOOKUP(B560,Products!A:A,Products!I:I),"REORDER REVIEW","Stock OK")</f>
        <v>REORDER REVIEW</v>
      </c>
    </row>
    <row r="561" spans="1:8">
      <c r="A561" s="2">
        <v>45870</v>
      </c>
      <c r="B561" t="s">
        <v>162</v>
      </c>
      <c r="C561">
        <v>0</v>
      </c>
      <c r="D561">
        <v>50</v>
      </c>
      <c r="E561">
        <v>139</v>
      </c>
      <c r="F561">
        <v>112</v>
      </c>
      <c r="G561">
        <v>62</v>
      </c>
      <c r="H561" t="str">
        <f>IF(C561&lt;=_xlfn.XLOOKUP(B561,Products!A:A,Products!I:I),"REORDER REVIEW","Stock OK")</f>
        <v>REORDER REVIEW</v>
      </c>
    </row>
    <row r="562" spans="1:8">
      <c r="A562" s="2">
        <v>45901</v>
      </c>
      <c r="B562" t="s">
        <v>162</v>
      </c>
      <c r="C562">
        <v>0</v>
      </c>
      <c r="D562">
        <v>100</v>
      </c>
      <c r="E562">
        <v>277</v>
      </c>
      <c r="F562">
        <v>112</v>
      </c>
      <c r="G562">
        <v>62</v>
      </c>
      <c r="H562" t="str">
        <f>IF(C562&lt;=_xlfn.XLOOKUP(B562,Products!A:A,Products!I:I),"REORDER REVIEW","Stock OK")</f>
        <v>REORDER REVIEW</v>
      </c>
    </row>
    <row r="563" spans="1:8">
      <c r="A563" s="2">
        <v>45931</v>
      </c>
      <c r="B563" t="s">
        <v>162</v>
      </c>
      <c r="C563">
        <v>0</v>
      </c>
      <c r="D563">
        <v>100</v>
      </c>
      <c r="E563">
        <v>243</v>
      </c>
      <c r="F563">
        <v>112</v>
      </c>
      <c r="G563">
        <v>62</v>
      </c>
      <c r="H563" t="str">
        <f>IF(C563&lt;=_xlfn.XLOOKUP(B563,Products!A:A,Products!I:I),"REORDER REVIEW","Stock OK")</f>
        <v>REORDER REVIEW</v>
      </c>
    </row>
    <row r="564" spans="1:8">
      <c r="A564" s="2">
        <v>45962</v>
      </c>
      <c r="B564" t="s">
        <v>162</v>
      </c>
      <c r="C564">
        <v>49</v>
      </c>
      <c r="D564">
        <v>0</v>
      </c>
      <c r="E564">
        <v>251</v>
      </c>
      <c r="F564">
        <v>112</v>
      </c>
      <c r="G564">
        <v>62</v>
      </c>
      <c r="H564" t="str">
        <f>IF(C564&lt;=_xlfn.XLOOKUP(B564,Products!A:A,Products!I:I),"REORDER REVIEW","Stock OK")</f>
        <v>REORDER REVIEW</v>
      </c>
    </row>
    <row r="565" spans="1:8">
      <c r="A565" s="2">
        <v>45992</v>
      </c>
      <c r="B565" t="s">
        <v>162</v>
      </c>
      <c r="C565">
        <v>0</v>
      </c>
      <c r="D565">
        <v>200</v>
      </c>
      <c r="E565">
        <v>358</v>
      </c>
      <c r="F565">
        <v>112</v>
      </c>
      <c r="G565">
        <v>62</v>
      </c>
      <c r="H565" t="str">
        <f>IF(C565&lt;=_xlfn.XLOOKUP(B565,Products!A:A,Products!I:I),"REORDER REVIEW","Stock OK")</f>
        <v>REORDER REVIEW</v>
      </c>
    </row>
    <row r="566" spans="1:8">
      <c r="A566" s="2">
        <v>45658</v>
      </c>
      <c r="B566" t="s">
        <v>164</v>
      </c>
      <c r="C566">
        <v>108</v>
      </c>
      <c r="D566">
        <v>50</v>
      </c>
      <c r="E566">
        <v>391</v>
      </c>
      <c r="F566">
        <v>165</v>
      </c>
      <c r="G566">
        <v>23</v>
      </c>
      <c r="H566" t="str">
        <f>IF(C566&lt;=_xlfn.XLOOKUP(B566,Products!A:A,Products!I:I),"REORDER REVIEW","Stock OK")</f>
        <v>REORDER REVIEW</v>
      </c>
    </row>
    <row r="567" spans="1:8">
      <c r="A567" s="2">
        <v>45689</v>
      </c>
      <c r="B567" t="s">
        <v>164</v>
      </c>
      <c r="C567">
        <v>0</v>
      </c>
      <c r="D567">
        <v>0</v>
      </c>
      <c r="E567">
        <v>478</v>
      </c>
      <c r="F567">
        <v>165</v>
      </c>
      <c r="G567">
        <v>23</v>
      </c>
      <c r="H567" t="str">
        <f>IF(C567&lt;=_xlfn.XLOOKUP(B567,Products!A:A,Products!I:I),"REORDER REVIEW","Stock OK")</f>
        <v>REORDER REVIEW</v>
      </c>
    </row>
    <row r="568" spans="1:8">
      <c r="A568" s="2">
        <v>45717</v>
      </c>
      <c r="B568" t="s">
        <v>164</v>
      </c>
      <c r="C568">
        <v>0</v>
      </c>
      <c r="D568">
        <v>100</v>
      </c>
      <c r="E568">
        <v>152</v>
      </c>
      <c r="F568">
        <v>165</v>
      </c>
      <c r="G568">
        <v>23</v>
      </c>
      <c r="H568" t="str">
        <f>IF(C568&lt;=_xlfn.XLOOKUP(B568,Products!A:A,Products!I:I),"REORDER REVIEW","Stock OK")</f>
        <v>REORDER REVIEW</v>
      </c>
    </row>
    <row r="569" spans="1:8">
      <c r="A569" s="2">
        <v>45748</v>
      </c>
      <c r="B569" t="s">
        <v>164</v>
      </c>
      <c r="C569">
        <v>0</v>
      </c>
      <c r="D569">
        <v>200</v>
      </c>
      <c r="E569">
        <v>117</v>
      </c>
      <c r="F569">
        <v>165</v>
      </c>
      <c r="G569">
        <v>23</v>
      </c>
      <c r="H569" t="str">
        <f>IF(C569&lt;=_xlfn.XLOOKUP(B569,Products!A:A,Products!I:I),"REORDER REVIEW","Stock OK")</f>
        <v>REORDER REVIEW</v>
      </c>
    </row>
    <row r="570" spans="1:8">
      <c r="A570" s="2">
        <v>45778</v>
      </c>
      <c r="B570" t="s">
        <v>164</v>
      </c>
      <c r="C570">
        <v>0</v>
      </c>
      <c r="D570">
        <v>200</v>
      </c>
      <c r="E570">
        <v>154</v>
      </c>
      <c r="F570">
        <v>165</v>
      </c>
      <c r="G570">
        <v>23</v>
      </c>
      <c r="H570" t="str">
        <f>IF(C570&lt;=_xlfn.XLOOKUP(B570,Products!A:A,Products!I:I),"REORDER REVIEW","Stock OK")</f>
        <v>REORDER REVIEW</v>
      </c>
    </row>
    <row r="571" spans="1:8">
      <c r="A571" s="2">
        <v>45809</v>
      </c>
      <c r="B571" t="s">
        <v>164</v>
      </c>
      <c r="C571">
        <v>0</v>
      </c>
      <c r="D571">
        <v>0</v>
      </c>
      <c r="E571">
        <v>259</v>
      </c>
      <c r="F571">
        <v>165</v>
      </c>
      <c r="G571">
        <v>23</v>
      </c>
      <c r="H571" t="str">
        <f>IF(C571&lt;=_xlfn.XLOOKUP(B571,Products!A:A,Products!I:I),"REORDER REVIEW","Stock OK")</f>
        <v>REORDER REVIEW</v>
      </c>
    </row>
    <row r="572" spans="1:8">
      <c r="A572" s="2">
        <v>45839</v>
      </c>
      <c r="B572" t="s">
        <v>164</v>
      </c>
      <c r="C572">
        <v>0</v>
      </c>
      <c r="D572">
        <v>0</v>
      </c>
      <c r="E572">
        <v>154</v>
      </c>
      <c r="F572">
        <v>165</v>
      </c>
      <c r="G572">
        <v>23</v>
      </c>
      <c r="H572" t="str">
        <f>IF(C572&lt;=_xlfn.XLOOKUP(B572,Products!A:A,Products!I:I),"REORDER REVIEW","Stock OK")</f>
        <v>REORDER REVIEW</v>
      </c>
    </row>
    <row r="573" spans="1:8">
      <c r="A573" s="2">
        <v>45870</v>
      </c>
      <c r="B573" t="s">
        <v>164</v>
      </c>
      <c r="C573">
        <v>0</v>
      </c>
      <c r="D573">
        <v>100</v>
      </c>
      <c r="E573">
        <v>323</v>
      </c>
      <c r="F573">
        <v>165</v>
      </c>
      <c r="G573">
        <v>23</v>
      </c>
      <c r="H573" t="str">
        <f>IF(C573&lt;=_xlfn.XLOOKUP(B573,Products!A:A,Products!I:I),"REORDER REVIEW","Stock OK")</f>
        <v>REORDER REVIEW</v>
      </c>
    </row>
    <row r="574" spans="1:8">
      <c r="A574" s="2">
        <v>45901</v>
      </c>
      <c r="B574" t="s">
        <v>164</v>
      </c>
      <c r="C574">
        <v>0</v>
      </c>
      <c r="D574">
        <v>0</v>
      </c>
      <c r="E574">
        <v>360</v>
      </c>
      <c r="F574">
        <v>165</v>
      </c>
      <c r="G574">
        <v>23</v>
      </c>
      <c r="H574" t="str">
        <f>IF(C574&lt;=_xlfn.XLOOKUP(B574,Products!A:A,Products!I:I),"REORDER REVIEW","Stock OK")</f>
        <v>REORDER REVIEW</v>
      </c>
    </row>
    <row r="575" spans="1:8">
      <c r="A575" s="2">
        <v>45931</v>
      </c>
      <c r="B575" t="s">
        <v>164</v>
      </c>
      <c r="C575">
        <v>0</v>
      </c>
      <c r="D575">
        <v>0</v>
      </c>
      <c r="E575">
        <v>206</v>
      </c>
      <c r="F575">
        <v>165</v>
      </c>
      <c r="G575">
        <v>23</v>
      </c>
      <c r="H575" t="str">
        <f>IF(C575&lt;=_xlfn.XLOOKUP(B575,Products!A:A,Products!I:I),"REORDER REVIEW","Stock OK")</f>
        <v>REORDER REVIEW</v>
      </c>
    </row>
    <row r="576" spans="1:8">
      <c r="A576" s="2">
        <v>45962</v>
      </c>
      <c r="B576" t="s">
        <v>164</v>
      </c>
      <c r="C576">
        <v>0</v>
      </c>
      <c r="D576">
        <v>50</v>
      </c>
      <c r="E576">
        <v>392</v>
      </c>
      <c r="F576">
        <v>165</v>
      </c>
      <c r="G576">
        <v>23</v>
      </c>
      <c r="H576" t="str">
        <f>IF(C576&lt;=_xlfn.XLOOKUP(B576,Products!A:A,Products!I:I),"REORDER REVIEW","Stock OK")</f>
        <v>REORDER REVIEW</v>
      </c>
    </row>
    <row r="577" spans="1:8">
      <c r="A577" s="2">
        <v>45992</v>
      </c>
      <c r="B577" t="s">
        <v>164</v>
      </c>
      <c r="C577">
        <v>0</v>
      </c>
      <c r="D577">
        <v>50</v>
      </c>
      <c r="E577">
        <v>350</v>
      </c>
      <c r="F577">
        <v>165</v>
      </c>
      <c r="G577">
        <v>23</v>
      </c>
      <c r="H577" t="str">
        <f>IF(C577&lt;=_xlfn.XLOOKUP(B577,Products!A:A,Products!I:I),"REORDER REVIEW","Stock OK")</f>
        <v>REORDER REVIEW</v>
      </c>
    </row>
    <row r="578" spans="1:8">
      <c r="A578" s="2">
        <v>45658</v>
      </c>
      <c r="B578" t="s">
        <v>166</v>
      </c>
      <c r="C578">
        <v>0</v>
      </c>
      <c r="D578">
        <v>100</v>
      </c>
      <c r="E578">
        <v>353</v>
      </c>
      <c r="F578">
        <v>271</v>
      </c>
      <c r="G578">
        <v>162</v>
      </c>
      <c r="H578" t="str">
        <f>IF(C578&lt;=_xlfn.XLOOKUP(B578,Products!A:A,Products!I:I),"REORDER REVIEW","Stock OK")</f>
        <v>REORDER REVIEW</v>
      </c>
    </row>
    <row r="579" spans="1:8">
      <c r="A579" s="2">
        <v>45689</v>
      </c>
      <c r="B579" t="s">
        <v>166</v>
      </c>
      <c r="C579">
        <v>0</v>
      </c>
      <c r="D579">
        <v>100</v>
      </c>
      <c r="E579">
        <v>303</v>
      </c>
      <c r="F579">
        <v>271</v>
      </c>
      <c r="G579">
        <v>162</v>
      </c>
      <c r="H579" t="str">
        <f>IF(C579&lt;=_xlfn.XLOOKUP(B579,Products!A:A,Products!I:I),"REORDER REVIEW","Stock OK")</f>
        <v>REORDER REVIEW</v>
      </c>
    </row>
    <row r="580" spans="1:8">
      <c r="A580" s="2">
        <v>45717</v>
      </c>
      <c r="B580" t="s">
        <v>166</v>
      </c>
      <c r="C580">
        <v>0</v>
      </c>
      <c r="D580">
        <v>0</v>
      </c>
      <c r="E580">
        <v>185</v>
      </c>
      <c r="F580">
        <v>271</v>
      </c>
      <c r="G580">
        <v>162</v>
      </c>
      <c r="H580" t="str">
        <f>IF(C580&lt;=_xlfn.XLOOKUP(B580,Products!A:A,Products!I:I),"REORDER REVIEW","Stock OK")</f>
        <v>REORDER REVIEW</v>
      </c>
    </row>
    <row r="581" spans="1:8">
      <c r="A581" s="2">
        <v>45748</v>
      </c>
      <c r="B581" t="s">
        <v>166</v>
      </c>
      <c r="C581">
        <v>0</v>
      </c>
      <c r="D581">
        <v>200</v>
      </c>
      <c r="E581">
        <v>289</v>
      </c>
      <c r="F581">
        <v>271</v>
      </c>
      <c r="G581">
        <v>162</v>
      </c>
      <c r="H581" t="str">
        <f>IF(C581&lt;=_xlfn.XLOOKUP(B581,Products!A:A,Products!I:I),"REORDER REVIEW","Stock OK")</f>
        <v>REORDER REVIEW</v>
      </c>
    </row>
    <row r="582" spans="1:8">
      <c r="A582" s="2">
        <v>45778</v>
      </c>
      <c r="B582" t="s">
        <v>166</v>
      </c>
      <c r="C582">
        <v>0</v>
      </c>
      <c r="D582">
        <v>200</v>
      </c>
      <c r="E582">
        <v>326</v>
      </c>
      <c r="F582">
        <v>271</v>
      </c>
      <c r="G582">
        <v>162</v>
      </c>
      <c r="H582" t="str">
        <f>IF(C582&lt;=_xlfn.XLOOKUP(B582,Products!A:A,Products!I:I),"REORDER REVIEW","Stock OK")</f>
        <v>REORDER REVIEW</v>
      </c>
    </row>
    <row r="583" spans="1:8">
      <c r="A583" s="2">
        <v>45809</v>
      </c>
      <c r="B583" t="s">
        <v>166</v>
      </c>
      <c r="C583">
        <v>0</v>
      </c>
      <c r="D583">
        <v>0</v>
      </c>
      <c r="E583">
        <v>331</v>
      </c>
      <c r="F583">
        <v>271</v>
      </c>
      <c r="G583">
        <v>162</v>
      </c>
      <c r="H583" t="str">
        <f>IF(C583&lt;=_xlfn.XLOOKUP(B583,Products!A:A,Products!I:I),"REORDER REVIEW","Stock OK")</f>
        <v>REORDER REVIEW</v>
      </c>
    </row>
    <row r="584" spans="1:8">
      <c r="A584" s="2">
        <v>45839</v>
      </c>
      <c r="B584" t="s">
        <v>166</v>
      </c>
      <c r="C584">
        <v>0</v>
      </c>
      <c r="D584">
        <v>0</v>
      </c>
      <c r="E584">
        <v>177</v>
      </c>
      <c r="F584">
        <v>271</v>
      </c>
      <c r="G584">
        <v>162</v>
      </c>
      <c r="H584" t="str">
        <f>IF(C584&lt;=_xlfn.XLOOKUP(B584,Products!A:A,Products!I:I),"REORDER REVIEW","Stock OK")</f>
        <v>REORDER REVIEW</v>
      </c>
    </row>
    <row r="585" spans="1:8">
      <c r="A585" s="2">
        <v>45870</v>
      </c>
      <c r="B585" t="s">
        <v>166</v>
      </c>
      <c r="C585">
        <v>0</v>
      </c>
      <c r="D585">
        <v>100</v>
      </c>
      <c r="E585">
        <v>327</v>
      </c>
      <c r="F585">
        <v>271</v>
      </c>
      <c r="G585">
        <v>162</v>
      </c>
      <c r="H585" t="str">
        <f>IF(C585&lt;=_xlfn.XLOOKUP(B585,Products!A:A,Products!I:I),"REORDER REVIEW","Stock OK")</f>
        <v>REORDER REVIEW</v>
      </c>
    </row>
    <row r="586" spans="1:8">
      <c r="A586" s="2">
        <v>45901</v>
      </c>
      <c r="B586" t="s">
        <v>166</v>
      </c>
      <c r="C586">
        <v>0</v>
      </c>
      <c r="D586">
        <v>0</v>
      </c>
      <c r="E586">
        <v>208</v>
      </c>
      <c r="F586">
        <v>271</v>
      </c>
      <c r="G586">
        <v>162</v>
      </c>
      <c r="H586" t="str">
        <f>IF(C586&lt;=_xlfn.XLOOKUP(B586,Products!A:A,Products!I:I),"REORDER REVIEW","Stock OK")</f>
        <v>REORDER REVIEW</v>
      </c>
    </row>
    <row r="587" spans="1:8">
      <c r="A587" s="2">
        <v>45931</v>
      </c>
      <c r="B587" t="s">
        <v>166</v>
      </c>
      <c r="C587">
        <v>0</v>
      </c>
      <c r="D587">
        <v>0</v>
      </c>
      <c r="E587">
        <v>93</v>
      </c>
      <c r="F587">
        <v>271</v>
      </c>
      <c r="G587">
        <v>162</v>
      </c>
      <c r="H587" t="str">
        <f>IF(C587&lt;=_xlfn.XLOOKUP(B587,Products!A:A,Products!I:I),"REORDER REVIEW","Stock OK")</f>
        <v>REORDER REVIEW</v>
      </c>
    </row>
    <row r="588" spans="1:8">
      <c r="A588" s="2">
        <v>45962</v>
      </c>
      <c r="B588" t="s">
        <v>166</v>
      </c>
      <c r="C588">
        <v>0</v>
      </c>
      <c r="D588">
        <v>0</v>
      </c>
      <c r="E588">
        <v>233</v>
      </c>
      <c r="F588">
        <v>271</v>
      </c>
      <c r="G588">
        <v>162</v>
      </c>
      <c r="H588" t="str">
        <f>IF(C588&lt;=_xlfn.XLOOKUP(B588,Products!A:A,Products!I:I),"REORDER REVIEW","Stock OK")</f>
        <v>REORDER REVIEW</v>
      </c>
    </row>
    <row r="589" spans="1:8">
      <c r="A589" s="2">
        <v>45992</v>
      </c>
      <c r="B589" t="s">
        <v>166</v>
      </c>
      <c r="C589">
        <v>0</v>
      </c>
      <c r="D589">
        <v>100</v>
      </c>
      <c r="E589">
        <v>325</v>
      </c>
      <c r="F589">
        <v>271</v>
      </c>
      <c r="G589">
        <v>162</v>
      </c>
      <c r="H589" t="str">
        <f>IF(C589&lt;=_xlfn.XLOOKUP(B589,Products!A:A,Products!I:I),"REORDER REVIEW","Stock OK")</f>
        <v>REORDER REVIEW</v>
      </c>
    </row>
    <row r="590" spans="1:8">
      <c r="A590" s="2">
        <v>45658</v>
      </c>
      <c r="B590" t="s">
        <v>168</v>
      </c>
      <c r="C590">
        <v>519</v>
      </c>
      <c r="D590">
        <v>0</v>
      </c>
      <c r="E590">
        <v>156</v>
      </c>
      <c r="F590">
        <v>247</v>
      </c>
      <c r="G590">
        <v>118</v>
      </c>
      <c r="H590" t="str">
        <f>IF(C590&lt;=_xlfn.XLOOKUP(B590,Products!A:A,Products!I:I),"REORDER REVIEW","Stock OK")</f>
        <v>Stock OK</v>
      </c>
    </row>
    <row r="591" spans="1:8">
      <c r="A591" s="2">
        <v>45689</v>
      </c>
      <c r="B591" t="s">
        <v>168</v>
      </c>
      <c r="C591">
        <v>581</v>
      </c>
      <c r="D591">
        <v>100</v>
      </c>
      <c r="E591">
        <v>138</v>
      </c>
      <c r="F591">
        <v>247</v>
      </c>
      <c r="G591">
        <v>118</v>
      </c>
      <c r="H591" t="str">
        <f>IF(C591&lt;=_xlfn.XLOOKUP(B591,Products!A:A,Products!I:I),"REORDER REVIEW","Stock OK")</f>
        <v>Stock OK</v>
      </c>
    </row>
    <row r="592" spans="1:8">
      <c r="A592" s="2">
        <v>45717</v>
      </c>
      <c r="B592" t="s">
        <v>168</v>
      </c>
      <c r="C592">
        <v>660</v>
      </c>
      <c r="D592">
        <v>0</v>
      </c>
      <c r="E592">
        <v>121</v>
      </c>
      <c r="F592">
        <v>247</v>
      </c>
      <c r="G592">
        <v>118</v>
      </c>
      <c r="H592" t="str">
        <f>IF(C592&lt;=_xlfn.XLOOKUP(B592,Products!A:A,Products!I:I),"REORDER REVIEW","Stock OK")</f>
        <v>Stock OK</v>
      </c>
    </row>
    <row r="593" spans="1:8">
      <c r="A593" s="2">
        <v>45748</v>
      </c>
      <c r="B593" t="s">
        <v>168</v>
      </c>
      <c r="C593">
        <v>755</v>
      </c>
      <c r="D593">
        <v>200</v>
      </c>
      <c r="E593">
        <v>205</v>
      </c>
      <c r="F593">
        <v>247</v>
      </c>
      <c r="G593">
        <v>118</v>
      </c>
      <c r="H593" t="str">
        <f>IF(C593&lt;=_xlfn.XLOOKUP(B593,Products!A:A,Products!I:I),"REORDER REVIEW","Stock OK")</f>
        <v>Stock OK</v>
      </c>
    </row>
    <row r="594" spans="1:8">
      <c r="A594" s="2">
        <v>45778</v>
      </c>
      <c r="B594" t="s">
        <v>168</v>
      </c>
      <c r="C594">
        <v>662</v>
      </c>
      <c r="D594">
        <v>100</v>
      </c>
      <c r="E594">
        <v>93</v>
      </c>
      <c r="F594">
        <v>247</v>
      </c>
      <c r="G594">
        <v>118</v>
      </c>
      <c r="H594" t="str">
        <f>IF(C594&lt;=_xlfn.XLOOKUP(B594,Products!A:A,Products!I:I),"REORDER REVIEW","Stock OK")</f>
        <v>Stock OK</v>
      </c>
    </row>
    <row r="595" spans="1:8">
      <c r="A595" s="2">
        <v>45809</v>
      </c>
      <c r="B595" t="s">
        <v>168</v>
      </c>
      <c r="C595">
        <v>716</v>
      </c>
      <c r="D595">
        <v>100</v>
      </c>
      <c r="E595">
        <v>246</v>
      </c>
      <c r="F595">
        <v>247</v>
      </c>
      <c r="G595">
        <v>118</v>
      </c>
      <c r="H595" t="str">
        <f>IF(C595&lt;=_xlfn.XLOOKUP(B595,Products!A:A,Products!I:I),"REORDER REVIEW","Stock OK")</f>
        <v>Stock OK</v>
      </c>
    </row>
    <row r="596" spans="1:8">
      <c r="A596" s="2">
        <v>45839</v>
      </c>
      <c r="B596" t="s">
        <v>168</v>
      </c>
      <c r="C596">
        <v>819</v>
      </c>
      <c r="D596">
        <v>100</v>
      </c>
      <c r="E596">
        <v>97</v>
      </c>
      <c r="F596">
        <v>247</v>
      </c>
      <c r="G596">
        <v>118</v>
      </c>
      <c r="H596" t="str">
        <f>IF(C596&lt;=_xlfn.XLOOKUP(B596,Products!A:A,Products!I:I),"REORDER REVIEW","Stock OK")</f>
        <v>Stock OK</v>
      </c>
    </row>
    <row r="597" spans="1:8">
      <c r="A597" s="2">
        <v>45870</v>
      </c>
      <c r="B597" t="s">
        <v>168</v>
      </c>
      <c r="C597">
        <v>683</v>
      </c>
      <c r="D597">
        <v>0</v>
      </c>
      <c r="E597">
        <v>236</v>
      </c>
      <c r="F597">
        <v>247</v>
      </c>
      <c r="G597">
        <v>118</v>
      </c>
      <c r="H597" t="str">
        <f>IF(C597&lt;=_xlfn.XLOOKUP(B597,Products!A:A,Products!I:I),"REORDER REVIEW","Stock OK")</f>
        <v>Stock OK</v>
      </c>
    </row>
    <row r="598" spans="1:8">
      <c r="A598" s="2">
        <v>45901</v>
      </c>
      <c r="B598" t="s">
        <v>168</v>
      </c>
      <c r="C598">
        <v>783</v>
      </c>
      <c r="D598">
        <v>50</v>
      </c>
      <c r="E598">
        <v>100</v>
      </c>
      <c r="F598">
        <v>247</v>
      </c>
      <c r="G598">
        <v>118</v>
      </c>
      <c r="H598" t="str">
        <f>IF(C598&lt;=_xlfn.XLOOKUP(B598,Products!A:A,Products!I:I),"REORDER REVIEW","Stock OK")</f>
        <v>Stock OK</v>
      </c>
    </row>
    <row r="599" spans="1:8">
      <c r="A599" s="2">
        <v>45931</v>
      </c>
      <c r="B599" t="s">
        <v>168</v>
      </c>
      <c r="C599">
        <v>568</v>
      </c>
      <c r="D599">
        <v>200</v>
      </c>
      <c r="E599">
        <v>215</v>
      </c>
      <c r="F599">
        <v>247</v>
      </c>
      <c r="G599">
        <v>118</v>
      </c>
      <c r="H599" t="str">
        <f>IF(C599&lt;=_xlfn.XLOOKUP(B599,Products!A:A,Products!I:I),"REORDER REVIEW","Stock OK")</f>
        <v>Stock OK</v>
      </c>
    </row>
    <row r="600" spans="1:8">
      <c r="A600" s="2">
        <v>45962</v>
      </c>
      <c r="B600" t="s">
        <v>168</v>
      </c>
      <c r="C600">
        <v>614</v>
      </c>
      <c r="D600">
        <v>100</v>
      </c>
      <c r="E600">
        <v>254</v>
      </c>
      <c r="F600">
        <v>247</v>
      </c>
      <c r="G600">
        <v>118</v>
      </c>
      <c r="H600" t="str">
        <f>IF(C600&lt;=_xlfn.XLOOKUP(B600,Products!A:A,Products!I:I),"REORDER REVIEW","Stock OK")</f>
        <v>Stock OK</v>
      </c>
    </row>
    <row r="601" spans="1:8">
      <c r="A601" s="2">
        <v>45992</v>
      </c>
      <c r="B601" t="s">
        <v>168</v>
      </c>
      <c r="C601">
        <v>346</v>
      </c>
      <c r="D601">
        <v>200</v>
      </c>
      <c r="E601">
        <v>268</v>
      </c>
      <c r="F601">
        <v>247</v>
      </c>
      <c r="G601">
        <v>118</v>
      </c>
      <c r="H601" t="str">
        <f>IF(C601&lt;=_xlfn.XLOOKUP(B601,Products!A:A,Products!I:I),"REORDER REVIEW","Stock OK")</f>
        <v>Stock OK</v>
      </c>
    </row>
    <row r="602" spans="1:8">
      <c r="A602" s="2">
        <v>45658</v>
      </c>
      <c r="B602" t="s">
        <v>170</v>
      </c>
      <c r="C602">
        <v>591</v>
      </c>
      <c r="D602">
        <v>0</v>
      </c>
      <c r="E602">
        <v>107</v>
      </c>
      <c r="F602">
        <v>173</v>
      </c>
      <c r="G602">
        <v>113</v>
      </c>
      <c r="H602" t="str">
        <f>IF(C602&lt;=_xlfn.XLOOKUP(B602,Products!A:A,Products!I:I),"REORDER REVIEW","Stock OK")</f>
        <v>Stock OK</v>
      </c>
    </row>
    <row r="603" spans="1:8">
      <c r="A603" s="2">
        <v>45689</v>
      </c>
      <c r="B603" t="s">
        <v>170</v>
      </c>
      <c r="C603">
        <v>272</v>
      </c>
      <c r="D603">
        <v>100</v>
      </c>
      <c r="E603">
        <v>319</v>
      </c>
      <c r="F603">
        <v>173</v>
      </c>
      <c r="G603">
        <v>113</v>
      </c>
      <c r="H603" t="str">
        <f>IF(C603&lt;=_xlfn.XLOOKUP(B603,Products!A:A,Products!I:I),"REORDER REVIEW","Stock OK")</f>
        <v>Stock OK</v>
      </c>
    </row>
    <row r="604" spans="1:8">
      <c r="A604" s="2">
        <v>45717</v>
      </c>
      <c r="B604" t="s">
        <v>170</v>
      </c>
      <c r="C604">
        <v>169</v>
      </c>
      <c r="D604">
        <v>50</v>
      </c>
      <c r="E604">
        <v>203</v>
      </c>
      <c r="F604">
        <v>173</v>
      </c>
      <c r="G604">
        <v>113</v>
      </c>
      <c r="H604" t="str">
        <f>IF(C604&lt;=_xlfn.XLOOKUP(B604,Products!A:A,Products!I:I),"REORDER REVIEW","Stock OK")</f>
        <v>REORDER REVIEW</v>
      </c>
    </row>
    <row r="605" spans="1:8">
      <c r="A605" s="2">
        <v>45748</v>
      </c>
      <c r="B605" t="s">
        <v>170</v>
      </c>
      <c r="C605">
        <v>184</v>
      </c>
      <c r="D605">
        <v>50</v>
      </c>
      <c r="E605">
        <v>285</v>
      </c>
      <c r="F605">
        <v>173</v>
      </c>
      <c r="G605">
        <v>113</v>
      </c>
      <c r="H605" t="str">
        <f>IF(C605&lt;=_xlfn.XLOOKUP(B605,Products!A:A,Products!I:I),"REORDER REVIEW","Stock OK")</f>
        <v>Stock OK</v>
      </c>
    </row>
    <row r="606" spans="1:8">
      <c r="A606" s="2">
        <v>45778</v>
      </c>
      <c r="B606" t="s">
        <v>170</v>
      </c>
      <c r="C606">
        <v>324</v>
      </c>
      <c r="D606">
        <v>200</v>
      </c>
      <c r="E606">
        <v>160</v>
      </c>
      <c r="F606">
        <v>173</v>
      </c>
      <c r="G606">
        <v>113</v>
      </c>
      <c r="H606" t="str">
        <f>IF(C606&lt;=_xlfn.XLOOKUP(B606,Products!A:A,Products!I:I),"REORDER REVIEW","Stock OK")</f>
        <v>Stock OK</v>
      </c>
    </row>
    <row r="607" spans="1:8">
      <c r="A607" s="2">
        <v>45809</v>
      </c>
      <c r="B607" t="s">
        <v>170</v>
      </c>
      <c r="C607">
        <v>121</v>
      </c>
      <c r="D607">
        <v>100</v>
      </c>
      <c r="E607">
        <v>203</v>
      </c>
      <c r="F607">
        <v>173</v>
      </c>
      <c r="G607">
        <v>113</v>
      </c>
      <c r="H607" t="str">
        <f>IF(C607&lt;=_xlfn.XLOOKUP(B607,Products!A:A,Products!I:I),"REORDER REVIEW","Stock OK")</f>
        <v>REORDER REVIEW</v>
      </c>
    </row>
    <row r="608" spans="1:8">
      <c r="A608" s="2">
        <v>45839</v>
      </c>
      <c r="B608" t="s">
        <v>170</v>
      </c>
      <c r="C608">
        <v>110</v>
      </c>
      <c r="D608">
        <v>0</v>
      </c>
      <c r="E608">
        <v>311</v>
      </c>
      <c r="F608">
        <v>173</v>
      </c>
      <c r="G608">
        <v>113</v>
      </c>
      <c r="H608" t="str">
        <f>IF(C608&lt;=_xlfn.XLOOKUP(B608,Products!A:A,Products!I:I),"REORDER REVIEW","Stock OK")</f>
        <v>REORDER REVIEW</v>
      </c>
    </row>
    <row r="609" spans="1:8">
      <c r="A609" s="2">
        <v>45870</v>
      </c>
      <c r="B609" t="s">
        <v>170</v>
      </c>
      <c r="C609">
        <v>0</v>
      </c>
      <c r="D609">
        <v>0</v>
      </c>
      <c r="E609">
        <v>481</v>
      </c>
      <c r="F609">
        <v>173</v>
      </c>
      <c r="G609">
        <v>113</v>
      </c>
      <c r="H609" t="str">
        <f>IF(C609&lt;=_xlfn.XLOOKUP(B609,Products!A:A,Products!I:I),"REORDER REVIEW","Stock OK")</f>
        <v>REORDER REVIEW</v>
      </c>
    </row>
    <row r="610" spans="1:8">
      <c r="A610" s="2">
        <v>45901</v>
      </c>
      <c r="B610" t="s">
        <v>170</v>
      </c>
      <c r="C610">
        <v>0</v>
      </c>
      <c r="D610">
        <v>0</v>
      </c>
      <c r="E610">
        <v>139</v>
      </c>
      <c r="F610">
        <v>173</v>
      </c>
      <c r="G610">
        <v>113</v>
      </c>
      <c r="H610" t="str">
        <f>IF(C610&lt;=_xlfn.XLOOKUP(B610,Products!A:A,Products!I:I),"REORDER REVIEW","Stock OK")</f>
        <v>REORDER REVIEW</v>
      </c>
    </row>
    <row r="611" spans="1:8">
      <c r="A611" s="2">
        <v>45931</v>
      </c>
      <c r="B611" t="s">
        <v>170</v>
      </c>
      <c r="C611">
        <v>0</v>
      </c>
      <c r="D611">
        <v>100</v>
      </c>
      <c r="E611">
        <v>381</v>
      </c>
      <c r="F611">
        <v>173</v>
      </c>
      <c r="G611">
        <v>113</v>
      </c>
      <c r="H611" t="str">
        <f>IF(C611&lt;=_xlfn.XLOOKUP(B611,Products!A:A,Products!I:I),"REORDER REVIEW","Stock OK")</f>
        <v>REORDER REVIEW</v>
      </c>
    </row>
    <row r="612" spans="1:8">
      <c r="A612" s="2">
        <v>45962</v>
      </c>
      <c r="B612" t="s">
        <v>170</v>
      </c>
      <c r="C612">
        <v>0</v>
      </c>
      <c r="D612">
        <v>0</v>
      </c>
      <c r="E612">
        <v>260</v>
      </c>
      <c r="F612">
        <v>173</v>
      </c>
      <c r="G612">
        <v>113</v>
      </c>
      <c r="H612" t="str">
        <f>IF(C612&lt;=_xlfn.XLOOKUP(B612,Products!A:A,Products!I:I),"REORDER REVIEW","Stock OK")</f>
        <v>REORDER REVIEW</v>
      </c>
    </row>
    <row r="613" spans="1:8">
      <c r="A613" s="2">
        <v>45992</v>
      </c>
      <c r="B613" t="s">
        <v>170</v>
      </c>
      <c r="C613">
        <v>0</v>
      </c>
      <c r="D613">
        <v>100</v>
      </c>
      <c r="E613">
        <v>284</v>
      </c>
      <c r="F613">
        <v>173</v>
      </c>
      <c r="G613">
        <v>113</v>
      </c>
      <c r="H613" t="str">
        <f>IF(C613&lt;=_xlfn.XLOOKUP(B613,Products!A:A,Products!I:I),"REORDER REVIEW","Stock OK")</f>
        <v>REORDER REVIEW</v>
      </c>
    </row>
    <row r="614" spans="1:8">
      <c r="A614" s="2">
        <v>45658</v>
      </c>
      <c r="B614" t="s">
        <v>172</v>
      </c>
      <c r="C614">
        <v>567</v>
      </c>
      <c r="D614">
        <v>0</v>
      </c>
      <c r="E614">
        <v>190</v>
      </c>
      <c r="F614">
        <v>220</v>
      </c>
      <c r="G614">
        <v>68</v>
      </c>
      <c r="H614" t="str">
        <f>IF(C614&lt;=_xlfn.XLOOKUP(B614,Products!A:A,Products!I:I),"REORDER REVIEW","Stock OK")</f>
        <v>Stock OK</v>
      </c>
    </row>
    <row r="615" spans="1:8">
      <c r="A615" s="2">
        <v>45689</v>
      </c>
      <c r="B615" t="s">
        <v>172</v>
      </c>
      <c r="C615">
        <v>158</v>
      </c>
      <c r="D615">
        <v>0</v>
      </c>
      <c r="E615">
        <v>409</v>
      </c>
      <c r="F615">
        <v>220</v>
      </c>
      <c r="G615">
        <v>68</v>
      </c>
      <c r="H615" t="str">
        <f>IF(C615&lt;=_xlfn.XLOOKUP(B615,Products!A:A,Products!I:I),"REORDER REVIEW","Stock OK")</f>
        <v>REORDER REVIEW</v>
      </c>
    </row>
    <row r="616" spans="1:8">
      <c r="A616" s="2">
        <v>45717</v>
      </c>
      <c r="B616" t="s">
        <v>172</v>
      </c>
      <c r="C616">
        <v>0</v>
      </c>
      <c r="D616">
        <v>50</v>
      </c>
      <c r="E616">
        <v>632</v>
      </c>
      <c r="F616">
        <v>220</v>
      </c>
      <c r="G616">
        <v>68</v>
      </c>
      <c r="H616" t="str">
        <f>IF(C616&lt;=_xlfn.XLOOKUP(B616,Products!A:A,Products!I:I),"REORDER REVIEW","Stock OK")</f>
        <v>REORDER REVIEW</v>
      </c>
    </row>
    <row r="617" spans="1:8">
      <c r="A617" s="2">
        <v>45748</v>
      </c>
      <c r="B617" t="s">
        <v>172</v>
      </c>
      <c r="C617">
        <v>0</v>
      </c>
      <c r="D617">
        <v>50</v>
      </c>
      <c r="E617">
        <v>623</v>
      </c>
      <c r="F617">
        <v>220</v>
      </c>
      <c r="G617">
        <v>68</v>
      </c>
      <c r="H617" t="str">
        <f>IF(C617&lt;=_xlfn.XLOOKUP(B617,Products!A:A,Products!I:I),"REORDER REVIEW","Stock OK")</f>
        <v>REORDER REVIEW</v>
      </c>
    </row>
    <row r="618" spans="1:8">
      <c r="A618" s="2">
        <v>45778</v>
      </c>
      <c r="B618" t="s">
        <v>172</v>
      </c>
      <c r="C618">
        <v>0</v>
      </c>
      <c r="D618">
        <v>100</v>
      </c>
      <c r="E618">
        <v>581</v>
      </c>
      <c r="F618">
        <v>220</v>
      </c>
      <c r="G618">
        <v>68</v>
      </c>
      <c r="H618" t="str">
        <f>IF(C618&lt;=_xlfn.XLOOKUP(B618,Products!A:A,Products!I:I),"REORDER REVIEW","Stock OK")</f>
        <v>REORDER REVIEW</v>
      </c>
    </row>
    <row r="619" spans="1:8">
      <c r="A619" s="2">
        <v>45809</v>
      </c>
      <c r="B619" t="s">
        <v>172</v>
      </c>
      <c r="C619">
        <v>0</v>
      </c>
      <c r="D619">
        <v>200</v>
      </c>
      <c r="E619">
        <v>632</v>
      </c>
      <c r="F619">
        <v>220</v>
      </c>
      <c r="G619">
        <v>68</v>
      </c>
      <c r="H619" t="str">
        <f>IF(C619&lt;=_xlfn.XLOOKUP(B619,Products!A:A,Products!I:I),"REORDER REVIEW","Stock OK")</f>
        <v>REORDER REVIEW</v>
      </c>
    </row>
    <row r="620" spans="1:8">
      <c r="A620" s="2">
        <v>45839</v>
      </c>
      <c r="B620" t="s">
        <v>172</v>
      </c>
      <c r="C620">
        <v>0</v>
      </c>
      <c r="D620">
        <v>50</v>
      </c>
      <c r="E620">
        <v>573</v>
      </c>
      <c r="F620">
        <v>220</v>
      </c>
      <c r="G620">
        <v>68</v>
      </c>
      <c r="H620" t="str">
        <f>IF(C620&lt;=_xlfn.XLOOKUP(B620,Products!A:A,Products!I:I),"REORDER REVIEW","Stock OK")</f>
        <v>REORDER REVIEW</v>
      </c>
    </row>
    <row r="621" spans="1:8">
      <c r="A621" s="2">
        <v>45870</v>
      </c>
      <c r="B621" t="s">
        <v>172</v>
      </c>
      <c r="C621">
        <v>0</v>
      </c>
      <c r="D621">
        <v>50</v>
      </c>
      <c r="E621">
        <v>377</v>
      </c>
      <c r="F621">
        <v>220</v>
      </c>
      <c r="G621">
        <v>68</v>
      </c>
      <c r="H621" t="str">
        <f>IF(C621&lt;=_xlfn.XLOOKUP(B621,Products!A:A,Products!I:I),"REORDER REVIEW","Stock OK")</f>
        <v>REORDER REVIEW</v>
      </c>
    </row>
    <row r="622" spans="1:8">
      <c r="A622" s="2">
        <v>45901</v>
      </c>
      <c r="B622" t="s">
        <v>172</v>
      </c>
      <c r="C622">
        <v>0</v>
      </c>
      <c r="D622">
        <v>0</v>
      </c>
      <c r="E622">
        <v>299</v>
      </c>
      <c r="F622">
        <v>220</v>
      </c>
      <c r="G622">
        <v>68</v>
      </c>
      <c r="H622" t="str">
        <f>IF(C622&lt;=_xlfn.XLOOKUP(B622,Products!A:A,Products!I:I),"REORDER REVIEW","Stock OK")</f>
        <v>REORDER REVIEW</v>
      </c>
    </row>
    <row r="623" spans="1:8">
      <c r="A623" s="2">
        <v>45931</v>
      </c>
      <c r="B623" t="s">
        <v>172</v>
      </c>
      <c r="C623">
        <v>0</v>
      </c>
      <c r="D623">
        <v>100</v>
      </c>
      <c r="E623">
        <v>527</v>
      </c>
      <c r="F623">
        <v>220</v>
      </c>
      <c r="G623">
        <v>68</v>
      </c>
      <c r="H623" t="str">
        <f>IF(C623&lt;=_xlfn.XLOOKUP(B623,Products!A:A,Products!I:I),"REORDER REVIEW","Stock OK")</f>
        <v>REORDER REVIEW</v>
      </c>
    </row>
    <row r="624" spans="1:8">
      <c r="A624" s="2">
        <v>45962</v>
      </c>
      <c r="B624" t="s">
        <v>172</v>
      </c>
      <c r="C624">
        <v>0</v>
      </c>
      <c r="D624">
        <v>50</v>
      </c>
      <c r="E624">
        <v>755</v>
      </c>
      <c r="F624">
        <v>220</v>
      </c>
      <c r="G624">
        <v>68</v>
      </c>
      <c r="H624" t="str">
        <f>IF(C624&lt;=_xlfn.XLOOKUP(B624,Products!A:A,Products!I:I),"REORDER REVIEW","Stock OK")</f>
        <v>REORDER REVIEW</v>
      </c>
    </row>
    <row r="625" spans="1:8">
      <c r="A625" s="2">
        <v>45992</v>
      </c>
      <c r="B625" t="s">
        <v>172</v>
      </c>
      <c r="C625">
        <v>0</v>
      </c>
      <c r="D625">
        <v>100</v>
      </c>
      <c r="E625">
        <v>323</v>
      </c>
      <c r="F625">
        <v>220</v>
      </c>
      <c r="G625">
        <v>68</v>
      </c>
      <c r="H625" t="str">
        <f>IF(C625&lt;=_xlfn.XLOOKUP(B625,Products!A:A,Products!I:I),"REORDER REVIEW","Stock OK")</f>
        <v>REORDER REVIEW</v>
      </c>
    </row>
    <row r="626" spans="1:8">
      <c r="A626" s="2">
        <v>45658</v>
      </c>
      <c r="B626" t="s">
        <v>174</v>
      </c>
      <c r="C626">
        <v>0</v>
      </c>
      <c r="D626">
        <v>0</v>
      </c>
      <c r="E626">
        <v>1317</v>
      </c>
      <c r="F626">
        <v>562</v>
      </c>
      <c r="G626">
        <v>47</v>
      </c>
      <c r="H626" t="str">
        <f>IF(C626&lt;=_xlfn.XLOOKUP(B626,Products!A:A,Products!I:I),"REORDER REVIEW","Stock OK")</f>
        <v>REORDER REVIEW</v>
      </c>
    </row>
    <row r="627" spans="1:8">
      <c r="A627" s="2">
        <v>45689</v>
      </c>
      <c r="B627" t="s">
        <v>174</v>
      </c>
      <c r="C627">
        <v>0</v>
      </c>
      <c r="D627">
        <v>50</v>
      </c>
      <c r="E627">
        <v>602</v>
      </c>
      <c r="F627">
        <v>562</v>
      </c>
      <c r="G627">
        <v>47</v>
      </c>
      <c r="H627" t="str">
        <f>IF(C627&lt;=_xlfn.XLOOKUP(B627,Products!A:A,Products!I:I),"REORDER REVIEW","Stock OK")</f>
        <v>REORDER REVIEW</v>
      </c>
    </row>
    <row r="628" spans="1:8">
      <c r="A628" s="2">
        <v>45717</v>
      </c>
      <c r="B628" t="s">
        <v>174</v>
      </c>
      <c r="C628">
        <v>0</v>
      </c>
      <c r="D628">
        <v>0</v>
      </c>
      <c r="E628">
        <v>577</v>
      </c>
      <c r="F628">
        <v>562</v>
      </c>
      <c r="G628">
        <v>47</v>
      </c>
      <c r="H628" t="str">
        <f>IF(C628&lt;=_xlfn.XLOOKUP(B628,Products!A:A,Products!I:I),"REORDER REVIEW","Stock OK")</f>
        <v>REORDER REVIEW</v>
      </c>
    </row>
    <row r="629" spans="1:8">
      <c r="A629" s="2">
        <v>45748</v>
      </c>
      <c r="B629" t="s">
        <v>174</v>
      </c>
      <c r="C629">
        <v>0</v>
      </c>
      <c r="D629">
        <v>50</v>
      </c>
      <c r="E629">
        <v>735</v>
      </c>
      <c r="F629">
        <v>562</v>
      </c>
      <c r="G629">
        <v>47</v>
      </c>
      <c r="H629" t="str">
        <f>IF(C629&lt;=_xlfn.XLOOKUP(B629,Products!A:A,Products!I:I),"REORDER REVIEW","Stock OK")</f>
        <v>REORDER REVIEW</v>
      </c>
    </row>
    <row r="630" spans="1:8">
      <c r="A630" s="2">
        <v>45778</v>
      </c>
      <c r="B630" t="s">
        <v>174</v>
      </c>
      <c r="C630">
        <v>0</v>
      </c>
      <c r="D630">
        <v>100</v>
      </c>
      <c r="E630">
        <v>755</v>
      </c>
      <c r="F630">
        <v>562</v>
      </c>
      <c r="G630">
        <v>47</v>
      </c>
      <c r="H630" t="str">
        <f>IF(C630&lt;=_xlfn.XLOOKUP(B630,Products!A:A,Products!I:I),"REORDER REVIEW","Stock OK")</f>
        <v>REORDER REVIEW</v>
      </c>
    </row>
    <row r="631" spans="1:8">
      <c r="A631" s="2">
        <v>45809</v>
      </c>
      <c r="B631" t="s">
        <v>174</v>
      </c>
      <c r="C631">
        <v>0</v>
      </c>
      <c r="D631">
        <v>0</v>
      </c>
      <c r="E631">
        <v>915</v>
      </c>
      <c r="F631">
        <v>562</v>
      </c>
      <c r="G631">
        <v>47</v>
      </c>
      <c r="H631" t="str">
        <f>IF(C631&lt;=_xlfn.XLOOKUP(B631,Products!A:A,Products!I:I),"REORDER REVIEW","Stock OK")</f>
        <v>REORDER REVIEW</v>
      </c>
    </row>
    <row r="632" spans="1:8">
      <c r="A632" s="2">
        <v>45839</v>
      </c>
      <c r="B632" t="s">
        <v>174</v>
      </c>
      <c r="C632">
        <v>0</v>
      </c>
      <c r="D632">
        <v>100</v>
      </c>
      <c r="E632">
        <v>933</v>
      </c>
      <c r="F632">
        <v>562</v>
      </c>
      <c r="G632">
        <v>47</v>
      </c>
      <c r="H632" t="str">
        <f>IF(C632&lt;=_xlfn.XLOOKUP(B632,Products!A:A,Products!I:I),"REORDER REVIEW","Stock OK")</f>
        <v>REORDER REVIEW</v>
      </c>
    </row>
    <row r="633" spans="1:8">
      <c r="A633" s="2">
        <v>45870</v>
      </c>
      <c r="B633" t="s">
        <v>174</v>
      </c>
      <c r="C633">
        <v>0</v>
      </c>
      <c r="D633">
        <v>50</v>
      </c>
      <c r="E633">
        <v>799</v>
      </c>
      <c r="F633">
        <v>562</v>
      </c>
      <c r="G633">
        <v>47</v>
      </c>
      <c r="H633" t="str">
        <f>IF(C633&lt;=_xlfn.XLOOKUP(B633,Products!A:A,Products!I:I),"REORDER REVIEW","Stock OK")</f>
        <v>REORDER REVIEW</v>
      </c>
    </row>
    <row r="634" spans="1:8">
      <c r="A634" s="2">
        <v>45901</v>
      </c>
      <c r="B634" t="s">
        <v>174</v>
      </c>
      <c r="C634">
        <v>0</v>
      </c>
      <c r="D634">
        <v>50</v>
      </c>
      <c r="E634">
        <v>972</v>
      </c>
      <c r="F634">
        <v>562</v>
      </c>
      <c r="G634">
        <v>47</v>
      </c>
      <c r="H634" t="str">
        <f>IF(C634&lt;=_xlfn.XLOOKUP(B634,Products!A:A,Products!I:I),"REORDER REVIEW","Stock OK")</f>
        <v>REORDER REVIEW</v>
      </c>
    </row>
    <row r="635" spans="1:8">
      <c r="A635" s="2">
        <v>45931</v>
      </c>
      <c r="B635" t="s">
        <v>174</v>
      </c>
      <c r="C635">
        <v>0</v>
      </c>
      <c r="D635">
        <v>200</v>
      </c>
      <c r="E635">
        <v>913</v>
      </c>
      <c r="F635">
        <v>562</v>
      </c>
      <c r="G635">
        <v>47</v>
      </c>
      <c r="H635" t="str">
        <f>IF(C635&lt;=_xlfn.XLOOKUP(B635,Products!A:A,Products!I:I),"REORDER REVIEW","Stock OK")</f>
        <v>REORDER REVIEW</v>
      </c>
    </row>
    <row r="636" spans="1:8">
      <c r="A636" s="2">
        <v>45962</v>
      </c>
      <c r="B636" t="s">
        <v>174</v>
      </c>
      <c r="C636">
        <v>0</v>
      </c>
      <c r="D636">
        <v>200</v>
      </c>
      <c r="E636">
        <v>1132</v>
      </c>
      <c r="F636">
        <v>562</v>
      </c>
      <c r="G636">
        <v>47</v>
      </c>
      <c r="H636" t="str">
        <f>IF(C636&lt;=_xlfn.XLOOKUP(B636,Products!A:A,Products!I:I),"REORDER REVIEW","Stock OK")</f>
        <v>REORDER REVIEW</v>
      </c>
    </row>
    <row r="637" spans="1:8">
      <c r="A637" s="2">
        <v>45992</v>
      </c>
      <c r="B637" t="s">
        <v>174</v>
      </c>
      <c r="C637">
        <v>0</v>
      </c>
      <c r="D637">
        <v>200</v>
      </c>
      <c r="E637">
        <v>795</v>
      </c>
      <c r="F637">
        <v>562</v>
      </c>
      <c r="G637">
        <v>47</v>
      </c>
      <c r="H637" t="str">
        <f>IF(C637&lt;=_xlfn.XLOOKUP(B637,Products!A:A,Products!I:I),"REORDER REVIEW","Stock OK")</f>
        <v>REORDER REVIEW</v>
      </c>
    </row>
    <row r="638" spans="1:8">
      <c r="A638" s="2">
        <v>45658</v>
      </c>
      <c r="B638" t="s">
        <v>176</v>
      </c>
      <c r="C638">
        <v>0</v>
      </c>
      <c r="D638">
        <v>0</v>
      </c>
      <c r="E638">
        <v>454</v>
      </c>
      <c r="F638">
        <v>334</v>
      </c>
      <c r="G638">
        <v>159</v>
      </c>
      <c r="H638" t="str">
        <f>IF(C638&lt;=_xlfn.XLOOKUP(B638,Products!A:A,Products!I:I),"REORDER REVIEW","Stock OK")</f>
        <v>REORDER REVIEW</v>
      </c>
    </row>
    <row r="639" spans="1:8">
      <c r="A639" s="2">
        <v>45689</v>
      </c>
      <c r="B639" t="s">
        <v>176</v>
      </c>
      <c r="C639">
        <v>0</v>
      </c>
      <c r="D639">
        <v>100</v>
      </c>
      <c r="E639">
        <v>403</v>
      </c>
      <c r="F639">
        <v>334</v>
      </c>
      <c r="G639">
        <v>159</v>
      </c>
      <c r="H639" t="str">
        <f>IF(C639&lt;=_xlfn.XLOOKUP(B639,Products!A:A,Products!I:I),"REORDER REVIEW","Stock OK")</f>
        <v>REORDER REVIEW</v>
      </c>
    </row>
    <row r="640" spans="1:8">
      <c r="A640" s="2">
        <v>45717</v>
      </c>
      <c r="B640" t="s">
        <v>176</v>
      </c>
      <c r="C640">
        <v>0</v>
      </c>
      <c r="D640">
        <v>0</v>
      </c>
      <c r="E640">
        <v>407</v>
      </c>
      <c r="F640">
        <v>334</v>
      </c>
      <c r="G640">
        <v>159</v>
      </c>
      <c r="H640" t="str">
        <f>IF(C640&lt;=_xlfn.XLOOKUP(B640,Products!A:A,Products!I:I),"REORDER REVIEW","Stock OK")</f>
        <v>REORDER REVIEW</v>
      </c>
    </row>
    <row r="641" spans="1:8">
      <c r="A641" s="2">
        <v>45748</v>
      </c>
      <c r="B641" t="s">
        <v>176</v>
      </c>
      <c r="C641">
        <v>0</v>
      </c>
      <c r="D641">
        <v>200</v>
      </c>
      <c r="E641">
        <v>270</v>
      </c>
      <c r="F641">
        <v>334</v>
      </c>
      <c r="G641">
        <v>159</v>
      </c>
      <c r="H641" t="str">
        <f>IF(C641&lt;=_xlfn.XLOOKUP(B641,Products!A:A,Products!I:I),"REORDER REVIEW","Stock OK")</f>
        <v>REORDER REVIEW</v>
      </c>
    </row>
    <row r="642" spans="1:8">
      <c r="A642" s="2">
        <v>45778</v>
      </c>
      <c r="B642" t="s">
        <v>176</v>
      </c>
      <c r="C642">
        <v>0</v>
      </c>
      <c r="D642">
        <v>50</v>
      </c>
      <c r="E642">
        <v>391</v>
      </c>
      <c r="F642">
        <v>334</v>
      </c>
      <c r="G642">
        <v>159</v>
      </c>
      <c r="H642" t="str">
        <f>IF(C642&lt;=_xlfn.XLOOKUP(B642,Products!A:A,Products!I:I),"REORDER REVIEW","Stock OK")</f>
        <v>REORDER REVIEW</v>
      </c>
    </row>
    <row r="643" spans="1:8">
      <c r="A643" s="2">
        <v>45809</v>
      </c>
      <c r="B643" t="s">
        <v>176</v>
      </c>
      <c r="C643">
        <v>162</v>
      </c>
      <c r="D643">
        <v>100</v>
      </c>
      <c r="E643">
        <v>138</v>
      </c>
      <c r="F643">
        <v>334</v>
      </c>
      <c r="G643">
        <v>159</v>
      </c>
      <c r="H643" t="str">
        <f>IF(C643&lt;=_xlfn.XLOOKUP(B643,Products!A:A,Products!I:I),"REORDER REVIEW","Stock OK")</f>
        <v>REORDER REVIEW</v>
      </c>
    </row>
    <row r="644" spans="1:8">
      <c r="A644" s="2">
        <v>45839</v>
      </c>
      <c r="B644" t="s">
        <v>176</v>
      </c>
      <c r="C644">
        <v>213</v>
      </c>
      <c r="D644">
        <v>0</v>
      </c>
      <c r="E644">
        <v>249</v>
      </c>
      <c r="F644">
        <v>334</v>
      </c>
      <c r="G644">
        <v>159</v>
      </c>
      <c r="H644" t="str">
        <f>IF(C644&lt;=_xlfn.XLOOKUP(B644,Products!A:A,Products!I:I),"REORDER REVIEW","Stock OK")</f>
        <v>REORDER REVIEW</v>
      </c>
    </row>
    <row r="645" spans="1:8">
      <c r="A645" s="2">
        <v>45870</v>
      </c>
      <c r="B645" t="s">
        <v>176</v>
      </c>
      <c r="C645">
        <v>25</v>
      </c>
      <c r="D645">
        <v>0</v>
      </c>
      <c r="E645">
        <v>188</v>
      </c>
      <c r="F645">
        <v>334</v>
      </c>
      <c r="G645">
        <v>159</v>
      </c>
      <c r="H645" t="str">
        <f>IF(C645&lt;=_xlfn.XLOOKUP(B645,Products!A:A,Products!I:I),"REORDER REVIEW","Stock OK")</f>
        <v>REORDER REVIEW</v>
      </c>
    </row>
    <row r="646" spans="1:8">
      <c r="A646" s="2">
        <v>45901</v>
      </c>
      <c r="B646" t="s">
        <v>176</v>
      </c>
      <c r="C646">
        <v>0</v>
      </c>
      <c r="D646">
        <v>100</v>
      </c>
      <c r="E646">
        <v>555</v>
      </c>
      <c r="F646">
        <v>334</v>
      </c>
      <c r="G646">
        <v>159</v>
      </c>
      <c r="H646" t="str">
        <f>IF(C646&lt;=_xlfn.XLOOKUP(B646,Products!A:A,Products!I:I),"REORDER REVIEW","Stock OK")</f>
        <v>REORDER REVIEW</v>
      </c>
    </row>
    <row r="647" spans="1:8">
      <c r="A647" s="2">
        <v>45931</v>
      </c>
      <c r="B647" t="s">
        <v>176</v>
      </c>
      <c r="C647">
        <v>0</v>
      </c>
      <c r="D647">
        <v>0</v>
      </c>
      <c r="E647">
        <v>552</v>
      </c>
      <c r="F647">
        <v>334</v>
      </c>
      <c r="G647">
        <v>159</v>
      </c>
      <c r="H647" t="str">
        <f>IF(C647&lt;=_xlfn.XLOOKUP(B647,Products!A:A,Products!I:I),"REORDER REVIEW","Stock OK")</f>
        <v>REORDER REVIEW</v>
      </c>
    </row>
    <row r="648" spans="1:8">
      <c r="A648" s="2">
        <v>45962</v>
      </c>
      <c r="B648" t="s">
        <v>176</v>
      </c>
      <c r="C648">
        <v>0</v>
      </c>
      <c r="D648">
        <v>0</v>
      </c>
      <c r="E648">
        <v>402</v>
      </c>
      <c r="F648">
        <v>334</v>
      </c>
      <c r="G648">
        <v>159</v>
      </c>
      <c r="H648" t="str">
        <f>IF(C648&lt;=_xlfn.XLOOKUP(B648,Products!A:A,Products!I:I),"REORDER REVIEW","Stock OK")</f>
        <v>REORDER REVIEW</v>
      </c>
    </row>
    <row r="649" spans="1:8">
      <c r="A649" s="2">
        <v>45992</v>
      </c>
      <c r="B649" t="s">
        <v>176</v>
      </c>
      <c r="C649">
        <v>0</v>
      </c>
      <c r="D649">
        <v>0</v>
      </c>
      <c r="E649">
        <v>440</v>
      </c>
      <c r="F649">
        <v>334</v>
      </c>
      <c r="G649">
        <v>159</v>
      </c>
      <c r="H649" t="str">
        <f>IF(C649&lt;=_xlfn.XLOOKUP(B649,Products!A:A,Products!I:I),"REORDER REVIEW","Stock OK")</f>
        <v>REORDER REVIEW</v>
      </c>
    </row>
    <row r="650" spans="1:8">
      <c r="A650" s="2">
        <v>45658</v>
      </c>
      <c r="B650" t="s">
        <v>178</v>
      </c>
      <c r="C650">
        <v>0</v>
      </c>
      <c r="D650">
        <v>50</v>
      </c>
      <c r="E650">
        <v>760</v>
      </c>
      <c r="F650">
        <v>728</v>
      </c>
      <c r="G650">
        <v>65</v>
      </c>
      <c r="H650" t="str">
        <f>IF(C650&lt;=_xlfn.XLOOKUP(B650,Products!A:A,Products!I:I),"REORDER REVIEW","Stock OK")</f>
        <v>REORDER REVIEW</v>
      </c>
    </row>
    <row r="651" spans="1:8">
      <c r="A651" s="2">
        <v>45689</v>
      </c>
      <c r="B651" t="s">
        <v>178</v>
      </c>
      <c r="C651">
        <v>0</v>
      </c>
      <c r="D651">
        <v>0</v>
      </c>
      <c r="E651">
        <v>351</v>
      </c>
      <c r="F651">
        <v>728</v>
      </c>
      <c r="G651">
        <v>65</v>
      </c>
      <c r="H651" t="str">
        <f>IF(C651&lt;=_xlfn.XLOOKUP(B651,Products!A:A,Products!I:I),"REORDER REVIEW","Stock OK")</f>
        <v>REORDER REVIEW</v>
      </c>
    </row>
    <row r="652" spans="1:8">
      <c r="A652" s="2">
        <v>45717</v>
      </c>
      <c r="B652" t="s">
        <v>178</v>
      </c>
      <c r="C652">
        <v>0</v>
      </c>
      <c r="D652">
        <v>100</v>
      </c>
      <c r="E652">
        <v>660</v>
      </c>
      <c r="F652">
        <v>728</v>
      </c>
      <c r="G652">
        <v>65</v>
      </c>
      <c r="H652" t="str">
        <f>IF(C652&lt;=_xlfn.XLOOKUP(B652,Products!A:A,Products!I:I),"REORDER REVIEW","Stock OK")</f>
        <v>REORDER REVIEW</v>
      </c>
    </row>
    <row r="653" spans="1:8">
      <c r="A653" s="2">
        <v>45748</v>
      </c>
      <c r="B653" t="s">
        <v>178</v>
      </c>
      <c r="C653">
        <v>0</v>
      </c>
      <c r="D653">
        <v>100</v>
      </c>
      <c r="E653">
        <v>512</v>
      </c>
      <c r="F653">
        <v>728</v>
      </c>
      <c r="G653">
        <v>65</v>
      </c>
      <c r="H653" t="str">
        <f>IF(C653&lt;=_xlfn.XLOOKUP(B653,Products!A:A,Products!I:I),"REORDER REVIEW","Stock OK")</f>
        <v>REORDER REVIEW</v>
      </c>
    </row>
    <row r="654" spans="1:8">
      <c r="A654" s="2">
        <v>45778</v>
      </c>
      <c r="B654" t="s">
        <v>178</v>
      </c>
      <c r="C654">
        <v>0</v>
      </c>
      <c r="D654">
        <v>200</v>
      </c>
      <c r="E654">
        <v>1189</v>
      </c>
      <c r="F654">
        <v>728</v>
      </c>
      <c r="G654">
        <v>65</v>
      </c>
      <c r="H654" t="str">
        <f>IF(C654&lt;=_xlfn.XLOOKUP(B654,Products!A:A,Products!I:I),"REORDER REVIEW","Stock OK")</f>
        <v>REORDER REVIEW</v>
      </c>
    </row>
    <row r="655" spans="1:8">
      <c r="A655" s="2">
        <v>45809</v>
      </c>
      <c r="B655" t="s">
        <v>178</v>
      </c>
      <c r="C655">
        <v>0</v>
      </c>
      <c r="D655">
        <v>200</v>
      </c>
      <c r="E655">
        <v>978</v>
      </c>
      <c r="F655">
        <v>728</v>
      </c>
      <c r="G655">
        <v>65</v>
      </c>
      <c r="H655" t="str">
        <f>IF(C655&lt;=_xlfn.XLOOKUP(B655,Products!A:A,Products!I:I),"REORDER REVIEW","Stock OK")</f>
        <v>REORDER REVIEW</v>
      </c>
    </row>
    <row r="656" spans="1:8">
      <c r="A656" s="2">
        <v>45839</v>
      </c>
      <c r="B656" t="s">
        <v>178</v>
      </c>
      <c r="C656">
        <v>0</v>
      </c>
      <c r="D656">
        <v>50</v>
      </c>
      <c r="E656">
        <v>535</v>
      </c>
      <c r="F656">
        <v>728</v>
      </c>
      <c r="G656">
        <v>65</v>
      </c>
      <c r="H656" t="str">
        <f>IF(C656&lt;=_xlfn.XLOOKUP(B656,Products!A:A,Products!I:I),"REORDER REVIEW","Stock OK")</f>
        <v>REORDER REVIEW</v>
      </c>
    </row>
    <row r="657" spans="1:8">
      <c r="A657" s="2">
        <v>45870</v>
      </c>
      <c r="B657" t="s">
        <v>178</v>
      </c>
      <c r="C657">
        <v>0</v>
      </c>
      <c r="D657">
        <v>50</v>
      </c>
      <c r="E657">
        <v>498</v>
      </c>
      <c r="F657">
        <v>728</v>
      </c>
      <c r="G657">
        <v>65</v>
      </c>
      <c r="H657" t="str">
        <f>IF(C657&lt;=_xlfn.XLOOKUP(B657,Products!A:A,Products!I:I),"REORDER REVIEW","Stock OK")</f>
        <v>REORDER REVIEW</v>
      </c>
    </row>
    <row r="658" spans="1:8">
      <c r="A658" s="2">
        <v>45901</v>
      </c>
      <c r="B658" t="s">
        <v>178</v>
      </c>
      <c r="C658">
        <v>0</v>
      </c>
      <c r="D658">
        <v>100</v>
      </c>
      <c r="E658">
        <v>484</v>
      </c>
      <c r="F658">
        <v>728</v>
      </c>
      <c r="G658">
        <v>65</v>
      </c>
      <c r="H658" t="str">
        <f>IF(C658&lt;=_xlfn.XLOOKUP(B658,Products!A:A,Products!I:I),"REORDER REVIEW","Stock OK")</f>
        <v>REORDER REVIEW</v>
      </c>
    </row>
    <row r="659" spans="1:8">
      <c r="A659" s="2">
        <v>45931</v>
      </c>
      <c r="B659" t="s">
        <v>178</v>
      </c>
      <c r="C659">
        <v>0</v>
      </c>
      <c r="D659">
        <v>50</v>
      </c>
      <c r="E659">
        <v>783</v>
      </c>
      <c r="F659">
        <v>728</v>
      </c>
      <c r="G659">
        <v>65</v>
      </c>
      <c r="H659" t="str">
        <f>IF(C659&lt;=_xlfn.XLOOKUP(B659,Products!A:A,Products!I:I),"REORDER REVIEW","Stock OK")</f>
        <v>REORDER REVIEW</v>
      </c>
    </row>
    <row r="660" spans="1:8">
      <c r="A660" s="2">
        <v>45962</v>
      </c>
      <c r="B660" t="s">
        <v>178</v>
      </c>
      <c r="C660">
        <v>0</v>
      </c>
      <c r="D660">
        <v>200</v>
      </c>
      <c r="E660">
        <v>672</v>
      </c>
      <c r="F660">
        <v>728</v>
      </c>
      <c r="G660">
        <v>65</v>
      </c>
      <c r="H660" t="str">
        <f>IF(C660&lt;=_xlfn.XLOOKUP(B660,Products!A:A,Products!I:I),"REORDER REVIEW","Stock OK")</f>
        <v>REORDER REVIEW</v>
      </c>
    </row>
    <row r="661" spans="1:8">
      <c r="A661" s="2">
        <v>45992</v>
      </c>
      <c r="B661" t="s">
        <v>178</v>
      </c>
      <c r="C661">
        <v>0</v>
      </c>
      <c r="D661">
        <v>0</v>
      </c>
      <c r="E661">
        <v>472</v>
      </c>
      <c r="F661">
        <v>728</v>
      </c>
      <c r="G661">
        <v>65</v>
      </c>
      <c r="H661" t="str">
        <f>IF(C661&lt;=_xlfn.XLOOKUP(B661,Products!A:A,Products!I:I),"REORDER REVIEW","Stock OK")</f>
        <v>REORDER REVIEW</v>
      </c>
    </row>
    <row r="662" spans="1:8">
      <c r="A662" s="2">
        <v>45658</v>
      </c>
      <c r="B662" t="s">
        <v>180</v>
      </c>
      <c r="C662">
        <v>299</v>
      </c>
      <c r="D662">
        <v>50</v>
      </c>
      <c r="E662">
        <v>39</v>
      </c>
      <c r="F662">
        <v>107</v>
      </c>
      <c r="G662">
        <v>44</v>
      </c>
      <c r="H662" t="str">
        <f>IF(C662&lt;=_xlfn.XLOOKUP(B662,Products!A:A,Products!I:I),"REORDER REVIEW","Stock OK")</f>
        <v>Stock OK</v>
      </c>
    </row>
    <row r="663" spans="1:8">
      <c r="A663" s="2">
        <v>45689</v>
      </c>
      <c r="B663" t="s">
        <v>180</v>
      </c>
      <c r="C663">
        <v>231</v>
      </c>
      <c r="D663">
        <v>100</v>
      </c>
      <c r="E663">
        <v>68</v>
      </c>
      <c r="F663">
        <v>107</v>
      </c>
      <c r="G663">
        <v>44</v>
      </c>
      <c r="H663" t="str">
        <f>IF(C663&lt;=_xlfn.XLOOKUP(B663,Products!A:A,Products!I:I),"REORDER REVIEW","Stock OK")</f>
        <v>Stock OK</v>
      </c>
    </row>
    <row r="664" spans="1:8">
      <c r="A664" s="2">
        <v>45717</v>
      </c>
      <c r="B664" t="s">
        <v>180</v>
      </c>
      <c r="C664">
        <v>168</v>
      </c>
      <c r="D664">
        <v>200</v>
      </c>
      <c r="E664">
        <v>63</v>
      </c>
      <c r="F664">
        <v>107</v>
      </c>
      <c r="G664">
        <v>44</v>
      </c>
      <c r="H664" t="str">
        <f>IF(C664&lt;=_xlfn.XLOOKUP(B664,Products!A:A,Products!I:I),"REORDER REVIEW","Stock OK")</f>
        <v>Stock OK</v>
      </c>
    </row>
    <row r="665" spans="1:8">
      <c r="A665" s="2">
        <v>45748</v>
      </c>
      <c r="B665" t="s">
        <v>180</v>
      </c>
      <c r="C665">
        <v>286</v>
      </c>
      <c r="D665">
        <v>0</v>
      </c>
      <c r="E665">
        <v>82</v>
      </c>
      <c r="F665">
        <v>107</v>
      </c>
      <c r="G665">
        <v>44</v>
      </c>
      <c r="H665" t="str">
        <f>IF(C665&lt;=_xlfn.XLOOKUP(B665,Products!A:A,Products!I:I),"REORDER REVIEW","Stock OK")</f>
        <v>Stock OK</v>
      </c>
    </row>
    <row r="666" spans="1:8">
      <c r="A666" s="2">
        <v>45778</v>
      </c>
      <c r="B666" t="s">
        <v>180</v>
      </c>
      <c r="C666">
        <v>338</v>
      </c>
      <c r="D666">
        <v>50</v>
      </c>
      <c r="E666">
        <v>48</v>
      </c>
      <c r="F666">
        <v>107</v>
      </c>
      <c r="G666">
        <v>44</v>
      </c>
      <c r="H666" t="str">
        <f>IF(C666&lt;=_xlfn.XLOOKUP(B666,Products!A:A,Products!I:I),"REORDER REVIEW","Stock OK")</f>
        <v>Stock OK</v>
      </c>
    </row>
    <row r="667" spans="1:8">
      <c r="A667" s="2">
        <v>45809</v>
      </c>
      <c r="B667" t="s">
        <v>180</v>
      </c>
      <c r="C667">
        <v>503</v>
      </c>
      <c r="D667">
        <v>0</v>
      </c>
      <c r="E667">
        <v>35</v>
      </c>
      <c r="F667">
        <v>107</v>
      </c>
      <c r="G667">
        <v>44</v>
      </c>
      <c r="H667" t="str">
        <f>IF(C667&lt;=_xlfn.XLOOKUP(B667,Products!A:A,Products!I:I),"REORDER REVIEW","Stock OK")</f>
        <v>Stock OK</v>
      </c>
    </row>
    <row r="668" spans="1:8">
      <c r="A668" s="2">
        <v>45839</v>
      </c>
      <c r="B668" t="s">
        <v>180</v>
      </c>
      <c r="C668">
        <v>421</v>
      </c>
      <c r="D668">
        <v>0</v>
      </c>
      <c r="E668">
        <v>82</v>
      </c>
      <c r="F668">
        <v>107</v>
      </c>
      <c r="G668">
        <v>44</v>
      </c>
      <c r="H668" t="str">
        <f>IF(C668&lt;=_xlfn.XLOOKUP(B668,Products!A:A,Products!I:I),"REORDER REVIEW","Stock OK")</f>
        <v>Stock OK</v>
      </c>
    </row>
    <row r="669" spans="1:8">
      <c r="A669" s="2">
        <v>45870</v>
      </c>
      <c r="B669" t="s">
        <v>180</v>
      </c>
      <c r="C669">
        <v>350</v>
      </c>
      <c r="D669">
        <v>0</v>
      </c>
      <c r="E669">
        <v>71</v>
      </c>
      <c r="F669">
        <v>107</v>
      </c>
      <c r="G669">
        <v>44</v>
      </c>
      <c r="H669" t="str">
        <f>IF(C669&lt;=_xlfn.XLOOKUP(B669,Products!A:A,Products!I:I),"REORDER REVIEW","Stock OK")</f>
        <v>Stock OK</v>
      </c>
    </row>
    <row r="670" spans="1:8">
      <c r="A670" s="2">
        <v>45901</v>
      </c>
      <c r="B670" t="s">
        <v>180</v>
      </c>
      <c r="C670">
        <v>296</v>
      </c>
      <c r="D670">
        <v>100</v>
      </c>
      <c r="E670">
        <v>54</v>
      </c>
      <c r="F670">
        <v>107</v>
      </c>
      <c r="G670">
        <v>44</v>
      </c>
      <c r="H670" t="str">
        <f>IF(C670&lt;=_xlfn.XLOOKUP(B670,Products!A:A,Products!I:I),"REORDER REVIEW","Stock OK")</f>
        <v>Stock OK</v>
      </c>
    </row>
    <row r="671" spans="1:8">
      <c r="A671" s="2">
        <v>45931</v>
      </c>
      <c r="B671" t="s">
        <v>180</v>
      </c>
      <c r="C671">
        <v>436</v>
      </c>
      <c r="D671">
        <v>100</v>
      </c>
      <c r="E671">
        <v>60</v>
      </c>
      <c r="F671">
        <v>107</v>
      </c>
      <c r="G671">
        <v>44</v>
      </c>
      <c r="H671" t="str">
        <f>IF(C671&lt;=_xlfn.XLOOKUP(B671,Products!A:A,Products!I:I),"REORDER REVIEW","Stock OK")</f>
        <v>Stock OK</v>
      </c>
    </row>
    <row r="672" spans="1:8">
      <c r="A672" s="2">
        <v>45962</v>
      </c>
      <c r="B672" t="s">
        <v>180</v>
      </c>
      <c r="C672">
        <v>365</v>
      </c>
      <c r="D672">
        <v>0</v>
      </c>
      <c r="E672">
        <v>71</v>
      </c>
      <c r="F672">
        <v>107</v>
      </c>
      <c r="G672">
        <v>44</v>
      </c>
      <c r="H672" t="str">
        <f>IF(C672&lt;=_xlfn.XLOOKUP(B672,Products!A:A,Products!I:I),"REORDER REVIEW","Stock OK")</f>
        <v>Stock OK</v>
      </c>
    </row>
    <row r="673" spans="1:8">
      <c r="A673" s="2">
        <v>45992</v>
      </c>
      <c r="B673" t="s">
        <v>180</v>
      </c>
      <c r="C673">
        <v>409</v>
      </c>
      <c r="D673">
        <v>200</v>
      </c>
      <c r="E673">
        <v>56</v>
      </c>
      <c r="F673">
        <v>107</v>
      </c>
      <c r="G673">
        <v>44</v>
      </c>
      <c r="H673" t="str">
        <f>IF(C673&lt;=_xlfn.XLOOKUP(B673,Products!A:A,Products!I:I),"REORDER REVIEW","Stock OK")</f>
        <v>Stock OK</v>
      </c>
    </row>
    <row r="674" spans="1:8">
      <c r="A674" s="2">
        <v>45658</v>
      </c>
      <c r="B674" t="s">
        <v>182</v>
      </c>
      <c r="C674">
        <v>0</v>
      </c>
      <c r="D674">
        <v>50</v>
      </c>
      <c r="E674">
        <v>422</v>
      </c>
      <c r="F674">
        <v>550</v>
      </c>
      <c r="G674">
        <v>75</v>
      </c>
      <c r="H674" t="str">
        <f>IF(C674&lt;=_xlfn.XLOOKUP(B674,Products!A:A,Products!I:I),"REORDER REVIEW","Stock OK")</f>
        <v>REORDER REVIEW</v>
      </c>
    </row>
    <row r="675" spans="1:8">
      <c r="A675" s="2">
        <v>45689</v>
      </c>
      <c r="B675" t="s">
        <v>182</v>
      </c>
      <c r="C675">
        <v>0</v>
      </c>
      <c r="D675">
        <v>50</v>
      </c>
      <c r="E675">
        <v>504</v>
      </c>
      <c r="F675">
        <v>550</v>
      </c>
      <c r="G675">
        <v>75</v>
      </c>
      <c r="H675" t="str">
        <f>IF(C675&lt;=_xlfn.XLOOKUP(B675,Products!A:A,Products!I:I),"REORDER REVIEW","Stock OK")</f>
        <v>REORDER REVIEW</v>
      </c>
    </row>
    <row r="676" spans="1:8">
      <c r="A676" s="2">
        <v>45717</v>
      </c>
      <c r="B676" t="s">
        <v>182</v>
      </c>
      <c r="C676">
        <v>0</v>
      </c>
      <c r="D676">
        <v>0</v>
      </c>
      <c r="E676">
        <v>241</v>
      </c>
      <c r="F676">
        <v>550</v>
      </c>
      <c r="G676">
        <v>75</v>
      </c>
      <c r="H676" t="str">
        <f>IF(C676&lt;=_xlfn.XLOOKUP(B676,Products!A:A,Products!I:I),"REORDER REVIEW","Stock OK")</f>
        <v>REORDER REVIEW</v>
      </c>
    </row>
    <row r="677" spans="1:8">
      <c r="A677" s="2">
        <v>45748</v>
      </c>
      <c r="B677" t="s">
        <v>182</v>
      </c>
      <c r="C677">
        <v>0</v>
      </c>
      <c r="D677">
        <v>0</v>
      </c>
      <c r="E677">
        <v>681</v>
      </c>
      <c r="F677">
        <v>550</v>
      </c>
      <c r="G677">
        <v>75</v>
      </c>
      <c r="H677" t="str">
        <f>IF(C677&lt;=_xlfn.XLOOKUP(B677,Products!A:A,Products!I:I),"REORDER REVIEW","Stock OK")</f>
        <v>REORDER REVIEW</v>
      </c>
    </row>
    <row r="678" spans="1:8">
      <c r="A678" s="2">
        <v>45778</v>
      </c>
      <c r="B678" t="s">
        <v>182</v>
      </c>
      <c r="C678">
        <v>0</v>
      </c>
      <c r="D678">
        <v>100</v>
      </c>
      <c r="E678">
        <v>588</v>
      </c>
      <c r="F678">
        <v>550</v>
      </c>
      <c r="G678">
        <v>75</v>
      </c>
      <c r="H678" t="str">
        <f>IF(C678&lt;=_xlfn.XLOOKUP(B678,Products!A:A,Products!I:I),"REORDER REVIEW","Stock OK")</f>
        <v>REORDER REVIEW</v>
      </c>
    </row>
    <row r="679" spans="1:8">
      <c r="A679" s="2">
        <v>45809</v>
      </c>
      <c r="B679" t="s">
        <v>182</v>
      </c>
      <c r="C679">
        <v>0</v>
      </c>
      <c r="D679">
        <v>50</v>
      </c>
      <c r="E679">
        <v>725</v>
      </c>
      <c r="F679">
        <v>550</v>
      </c>
      <c r="G679">
        <v>75</v>
      </c>
      <c r="H679" t="str">
        <f>IF(C679&lt;=_xlfn.XLOOKUP(B679,Products!A:A,Products!I:I),"REORDER REVIEW","Stock OK")</f>
        <v>REORDER REVIEW</v>
      </c>
    </row>
    <row r="680" spans="1:8">
      <c r="A680" s="2">
        <v>45839</v>
      </c>
      <c r="B680" t="s">
        <v>182</v>
      </c>
      <c r="C680">
        <v>0</v>
      </c>
      <c r="D680">
        <v>200</v>
      </c>
      <c r="E680">
        <v>687</v>
      </c>
      <c r="F680">
        <v>550</v>
      </c>
      <c r="G680">
        <v>75</v>
      </c>
      <c r="H680" t="str">
        <f>IF(C680&lt;=_xlfn.XLOOKUP(B680,Products!A:A,Products!I:I),"REORDER REVIEW","Stock OK")</f>
        <v>REORDER REVIEW</v>
      </c>
    </row>
    <row r="681" spans="1:8">
      <c r="A681" s="2">
        <v>45870</v>
      </c>
      <c r="B681" t="s">
        <v>182</v>
      </c>
      <c r="C681">
        <v>0</v>
      </c>
      <c r="D681">
        <v>0</v>
      </c>
      <c r="E681">
        <v>816</v>
      </c>
      <c r="F681">
        <v>550</v>
      </c>
      <c r="G681">
        <v>75</v>
      </c>
      <c r="H681" t="str">
        <f>IF(C681&lt;=_xlfn.XLOOKUP(B681,Products!A:A,Products!I:I),"REORDER REVIEW","Stock OK")</f>
        <v>REORDER REVIEW</v>
      </c>
    </row>
    <row r="682" spans="1:8">
      <c r="A682" s="2">
        <v>45901</v>
      </c>
      <c r="B682" t="s">
        <v>182</v>
      </c>
      <c r="C682">
        <v>0</v>
      </c>
      <c r="D682">
        <v>0</v>
      </c>
      <c r="E682">
        <v>639</v>
      </c>
      <c r="F682">
        <v>550</v>
      </c>
      <c r="G682">
        <v>75</v>
      </c>
      <c r="H682" t="str">
        <f>IF(C682&lt;=_xlfn.XLOOKUP(B682,Products!A:A,Products!I:I),"REORDER REVIEW","Stock OK")</f>
        <v>REORDER REVIEW</v>
      </c>
    </row>
    <row r="683" spans="1:8">
      <c r="A683" s="2">
        <v>45931</v>
      </c>
      <c r="B683" t="s">
        <v>182</v>
      </c>
      <c r="C683">
        <v>0</v>
      </c>
      <c r="D683">
        <v>50</v>
      </c>
      <c r="E683">
        <v>437</v>
      </c>
      <c r="F683">
        <v>550</v>
      </c>
      <c r="G683">
        <v>75</v>
      </c>
      <c r="H683" t="str">
        <f>IF(C683&lt;=_xlfn.XLOOKUP(B683,Products!A:A,Products!I:I),"REORDER REVIEW","Stock OK")</f>
        <v>REORDER REVIEW</v>
      </c>
    </row>
    <row r="684" spans="1:8">
      <c r="A684" s="2">
        <v>45962</v>
      </c>
      <c r="B684" t="s">
        <v>182</v>
      </c>
      <c r="C684">
        <v>0</v>
      </c>
      <c r="D684">
        <v>200</v>
      </c>
      <c r="E684">
        <v>456</v>
      </c>
      <c r="F684">
        <v>550</v>
      </c>
      <c r="G684">
        <v>75</v>
      </c>
      <c r="H684" t="str">
        <f>IF(C684&lt;=_xlfn.XLOOKUP(B684,Products!A:A,Products!I:I),"REORDER REVIEW","Stock OK")</f>
        <v>REORDER REVIEW</v>
      </c>
    </row>
    <row r="685" spans="1:8">
      <c r="A685" s="2">
        <v>45992</v>
      </c>
      <c r="B685" t="s">
        <v>182</v>
      </c>
      <c r="C685">
        <v>0</v>
      </c>
      <c r="D685">
        <v>100</v>
      </c>
      <c r="E685">
        <v>452</v>
      </c>
      <c r="F685">
        <v>550</v>
      </c>
      <c r="G685">
        <v>75</v>
      </c>
      <c r="H685" t="str">
        <f>IF(C685&lt;=_xlfn.XLOOKUP(B685,Products!A:A,Products!I:I),"REORDER REVIEW","Stock OK")</f>
        <v>REORDER REVIEW</v>
      </c>
    </row>
    <row r="686" spans="1:8">
      <c r="A686" s="2">
        <v>45658</v>
      </c>
      <c r="B686" t="s">
        <v>184</v>
      </c>
      <c r="C686">
        <v>4</v>
      </c>
      <c r="D686">
        <v>100</v>
      </c>
      <c r="E686">
        <v>618</v>
      </c>
      <c r="F686">
        <v>330</v>
      </c>
      <c r="G686">
        <v>172</v>
      </c>
      <c r="H686" t="str">
        <f>IF(C686&lt;=_xlfn.XLOOKUP(B686,Products!A:A,Products!I:I),"REORDER REVIEW","Stock OK")</f>
        <v>REORDER REVIEW</v>
      </c>
    </row>
    <row r="687" spans="1:8">
      <c r="A687" s="2">
        <v>45689</v>
      </c>
      <c r="B687" t="s">
        <v>184</v>
      </c>
      <c r="C687">
        <v>0</v>
      </c>
      <c r="D687">
        <v>50</v>
      </c>
      <c r="E687">
        <v>808</v>
      </c>
      <c r="F687">
        <v>330</v>
      </c>
      <c r="G687">
        <v>172</v>
      </c>
      <c r="H687" t="str">
        <f>IF(C687&lt;=_xlfn.XLOOKUP(B687,Products!A:A,Products!I:I),"REORDER REVIEW","Stock OK")</f>
        <v>REORDER REVIEW</v>
      </c>
    </row>
    <row r="688" spans="1:8">
      <c r="A688" s="2">
        <v>45717</v>
      </c>
      <c r="B688" t="s">
        <v>184</v>
      </c>
      <c r="C688">
        <v>0</v>
      </c>
      <c r="D688">
        <v>100</v>
      </c>
      <c r="E688">
        <v>1040</v>
      </c>
      <c r="F688">
        <v>330</v>
      </c>
      <c r="G688">
        <v>172</v>
      </c>
      <c r="H688" t="str">
        <f>IF(C688&lt;=_xlfn.XLOOKUP(B688,Products!A:A,Products!I:I),"REORDER REVIEW","Stock OK")</f>
        <v>REORDER REVIEW</v>
      </c>
    </row>
    <row r="689" spans="1:8">
      <c r="A689" s="2">
        <v>45748</v>
      </c>
      <c r="B689" t="s">
        <v>184</v>
      </c>
      <c r="C689">
        <v>0</v>
      </c>
      <c r="D689">
        <v>200</v>
      </c>
      <c r="E689">
        <v>1082</v>
      </c>
      <c r="F689">
        <v>330</v>
      </c>
      <c r="G689">
        <v>172</v>
      </c>
      <c r="H689" t="str">
        <f>IF(C689&lt;=_xlfn.XLOOKUP(B689,Products!A:A,Products!I:I),"REORDER REVIEW","Stock OK")</f>
        <v>REORDER REVIEW</v>
      </c>
    </row>
    <row r="690" spans="1:8">
      <c r="A690" s="2">
        <v>45778</v>
      </c>
      <c r="B690" t="s">
        <v>184</v>
      </c>
      <c r="C690">
        <v>0</v>
      </c>
      <c r="D690">
        <v>0</v>
      </c>
      <c r="E690">
        <v>815</v>
      </c>
      <c r="F690">
        <v>330</v>
      </c>
      <c r="G690">
        <v>172</v>
      </c>
      <c r="H690" t="str">
        <f>IF(C690&lt;=_xlfn.XLOOKUP(B690,Products!A:A,Products!I:I),"REORDER REVIEW","Stock OK")</f>
        <v>REORDER REVIEW</v>
      </c>
    </row>
    <row r="691" spans="1:8">
      <c r="A691" s="2">
        <v>45809</v>
      </c>
      <c r="B691" t="s">
        <v>184</v>
      </c>
      <c r="C691">
        <v>0</v>
      </c>
      <c r="D691">
        <v>100</v>
      </c>
      <c r="E691">
        <v>798</v>
      </c>
      <c r="F691">
        <v>330</v>
      </c>
      <c r="G691">
        <v>172</v>
      </c>
      <c r="H691" t="str">
        <f>IF(C691&lt;=_xlfn.XLOOKUP(B691,Products!A:A,Products!I:I),"REORDER REVIEW","Stock OK")</f>
        <v>REORDER REVIEW</v>
      </c>
    </row>
    <row r="692" spans="1:8">
      <c r="A692" s="2">
        <v>45839</v>
      </c>
      <c r="B692" t="s">
        <v>184</v>
      </c>
      <c r="C692">
        <v>0</v>
      </c>
      <c r="D692">
        <v>0</v>
      </c>
      <c r="E692">
        <v>588</v>
      </c>
      <c r="F692">
        <v>330</v>
      </c>
      <c r="G692">
        <v>172</v>
      </c>
      <c r="H692" t="str">
        <f>IF(C692&lt;=_xlfn.XLOOKUP(B692,Products!A:A,Products!I:I),"REORDER REVIEW","Stock OK")</f>
        <v>REORDER REVIEW</v>
      </c>
    </row>
    <row r="693" spans="1:8">
      <c r="A693" s="2">
        <v>45870</v>
      </c>
      <c r="B693" t="s">
        <v>184</v>
      </c>
      <c r="C693">
        <v>0</v>
      </c>
      <c r="D693">
        <v>0</v>
      </c>
      <c r="E693">
        <v>859</v>
      </c>
      <c r="F693">
        <v>330</v>
      </c>
      <c r="G693">
        <v>172</v>
      </c>
      <c r="H693" t="str">
        <f>IF(C693&lt;=_xlfn.XLOOKUP(B693,Products!A:A,Products!I:I),"REORDER REVIEW","Stock OK")</f>
        <v>REORDER REVIEW</v>
      </c>
    </row>
    <row r="694" spans="1:8">
      <c r="A694" s="2">
        <v>45901</v>
      </c>
      <c r="B694" t="s">
        <v>184</v>
      </c>
      <c r="C694">
        <v>0</v>
      </c>
      <c r="D694">
        <v>50</v>
      </c>
      <c r="E694">
        <v>350</v>
      </c>
      <c r="F694">
        <v>330</v>
      </c>
      <c r="G694">
        <v>172</v>
      </c>
      <c r="H694" t="str">
        <f>IF(C694&lt;=_xlfn.XLOOKUP(B694,Products!A:A,Products!I:I),"REORDER REVIEW","Stock OK")</f>
        <v>REORDER REVIEW</v>
      </c>
    </row>
    <row r="695" spans="1:8">
      <c r="A695" s="2">
        <v>45931</v>
      </c>
      <c r="B695" t="s">
        <v>184</v>
      </c>
      <c r="C695">
        <v>0</v>
      </c>
      <c r="D695">
        <v>200</v>
      </c>
      <c r="E695">
        <v>714</v>
      </c>
      <c r="F695">
        <v>330</v>
      </c>
      <c r="G695">
        <v>172</v>
      </c>
      <c r="H695" t="str">
        <f>IF(C695&lt;=_xlfn.XLOOKUP(B695,Products!A:A,Products!I:I),"REORDER REVIEW","Stock OK")</f>
        <v>REORDER REVIEW</v>
      </c>
    </row>
    <row r="696" spans="1:8">
      <c r="A696" s="2">
        <v>45962</v>
      </c>
      <c r="B696" t="s">
        <v>184</v>
      </c>
      <c r="C696">
        <v>0</v>
      </c>
      <c r="D696">
        <v>50</v>
      </c>
      <c r="E696">
        <v>892</v>
      </c>
      <c r="F696">
        <v>330</v>
      </c>
      <c r="G696">
        <v>172</v>
      </c>
      <c r="H696" t="str">
        <f>IF(C696&lt;=_xlfn.XLOOKUP(B696,Products!A:A,Products!I:I),"REORDER REVIEW","Stock OK")</f>
        <v>REORDER REVIEW</v>
      </c>
    </row>
    <row r="697" spans="1:8">
      <c r="A697" s="2">
        <v>45992</v>
      </c>
      <c r="B697" t="s">
        <v>184</v>
      </c>
      <c r="C697">
        <v>0</v>
      </c>
      <c r="D697">
        <v>0</v>
      </c>
      <c r="E697">
        <v>254</v>
      </c>
      <c r="F697">
        <v>330</v>
      </c>
      <c r="G697">
        <v>172</v>
      </c>
      <c r="H697" t="str">
        <f>IF(C697&lt;=_xlfn.XLOOKUP(B697,Products!A:A,Products!I:I),"REORDER REVIEW","Stock OK")</f>
        <v>REORDER REVIEW</v>
      </c>
    </row>
    <row r="698" spans="1:8">
      <c r="A698" s="2">
        <v>45658</v>
      </c>
      <c r="B698" t="s">
        <v>186</v>
      </c>
      <c r="C698">
        <v>0</v>
      </c>
      <c r="D698">
        <v>100</v>
      </c>
      <c r="E698">
        <v>92</v>
      </c>
      <c r="F698">
        <v>187</v>
      </c>
      <c r="G698">
        <v>60</v>
      </c>
      <c r="H698" t="str">
        <f>IF(C698&lt;=_xlfn.XLOOKUP(B698,Products!A:A,Products!I:I),"REORDER REVIEW","Stock OK")</f>
        <v>REORDER REVIEW</v>
      </c>
    </row>
    <row r="699" spans="1:8">
      <c r="A699" s="2">
        <v>45689</v>
      </c>
      <c r="B699" t="s">
        <v>186</v>
      </c>
      <c r="C699">
        <v>0</v>
      </c>
      <c r="D699">
        <v>0</v>
      </c>
      <c r="E699">
        <v>211</v>
      </c>
      <c r="F699">
        <v>187</v>
      </c>
      <c r="G699">
        <v>60</v>
      </c>
      <c r="H699" t="str">
        <f>IF(C699&lt;=_xlfn.XLOOKUP(B699,Products!A:A,Products!I:I),"REORDER REVIEW","Stock OK")</f>
        <v>REORDER REVIEW</v>
      </c>
    </row>
    <row r="700" spans="1:8">
      <c r="A700" s="2">
        <v>45717</v>
      </c>
      <c r="B700" t="s">
        <v>186</v>
      </c>
      <c r="C700">
        <v>140</v>
      </c>
      <c r="D700">
        <v>200</v>
      </c>
      <c r="E700">
        <v>160</v>
      </c>
      <c r="F700">
        <v>187</v>
      </c>
      <c r="G700">
        <v>60</v>
      </c>
      <c r="H700" t="str">
        <f>IF(C700&lt;=_xlfn.XLOOKUP(B700,Products!A:A,Products!I:I),"REORDER REVIEW","Stock OK")</f>
        <v>REORDER REVIEW</v>
      </c>
    </row>
    <row r="701" spans="1:8">
      <c r="A701" s="2">
        <v>45748</v>
      </c>
      <c r="B701" t="s">
        <v>186</v>
      </c>
      <c r="C701">
        <v>200</v>
      </c>
      <c r="D701">
        <v>200</v>
      </c>
      <c r="E701">
        <v>140</v>
      </c>
      <c r="F701">
        <v>187</v>
      </c>
      <c r="G701">
        <v>60</v>
      </c>
      <c r="H701" t="str">
        <f>IF(C701&lt;=_xlfn.XLOOKUP(B701,Products!A:A,Products!I:I),"REORDER REVIEW","Stock OK")</f>
        <v>Stock OK</v>
      </c>
    </row>
    <row r="702" spans="1:8">
      <c r="A702" s="2">
        <v>45778</v>
      </c>
      <c r="B702" t="s">
        <v>186</v>
      </c>
      <c r="C702">
        <v>236</v>
      </c>
      <c r="D702">
        <v>0</v>
      </c>
      <c r="E702">
        <v>164</v>
      </c>
      <c r="F702">
        <v>187</v>
      </c>
      <c r="G702">
        <v>60</v>
      </c>
      <c r="H702" t="str">
        <f>IF(C702&lt;=_xlfn.XLOOKUP(B702,Products!A:A,Products!I:I),"REORDER REVIEW","Stock OK")</f>
        <v>Stock OK</v>
      </c>
    </row>
    <row r="703" spans="1:8">
      <c r="A703" s="2">
        <v>45809</v>
      </c>
      <c r="B703" t="s">
        <v>186</v>
      </c>
      <c r="C703">
        <v>155</v>
      </c>
      <c r="D703">
        <v>200</v>
      </c>
      <c r="E703">
        <v>181</v>
      </c>
      <c r="F703">
        <v>187</v>
      </c>
      <c r="G703">
        <v>60</v>
      </c>
      <c r="H703" t="str">
        <f>IF(C703&lt;=_xlfn.XLOOKUP(B703,Products!A:A,Products!I:I),"REORDER REVIEW","Stock OK")</f>
        <v>REORDER REVIEW</v>
      </c>
    </row>
    <row r="704" spans="1:8">
      <c r="A704" s="2">
        <v>45839</v>
      </c>
      <c r="B704" t="s">
        <v>186</v>
      </c>
      <c r="C704">
        <v>54</v>
      </c>
      <c r="D704">
        <v>50</v>
      </c>
      <c r="E704">
        <v>101</v>
      </c>
      <c r="F704">
        <v>187</v>
      </c>
      <c r="G704">
        <v>60</v>
      </c>
      <c r="H704" t="str">
        <f>IF(C704&lt;=_xlfn.XLOOKUP(B704,Products!A:A,Products!I:I),"REORDER REVIEW","Stock OK")</f>
        <v>REORDER REVIEW</v>
      </c>
    </row>
    <row r="705" spans="1:8">
      <c r="A705" s="2">
        <v>45870</v>
      </c>
      <c r="B705" t="s">
        <v>186</v>
      </c>
      <c r="C705">
        <v>0</v>
      </c>
      <c r="D705">
        <v>200</v>
      </c>
      <c r="E705">
        <v>83</v>
      </c>
      <c r="F705">
        <v>187</v>
      </c>
      <c r="G705">
        <v>60</v>
      </c>
      <c r="H705" t="str">
        <f>IF(C705&lt;=_xlfn.XLOOKUP(B705,Products!A:A,Products!I:I),"REORDER REVIEW","Stock OK")</f>
        <v>REORDER REVIEW</v>
      </c>
    </row>
    <row r="706" spans="1:8">
      <c r="A706" s="2">
        <v>45901</v>
      </c>
      <c r="B706" t="s">
        <v>186</v>
      </c>
      <c r="C706">
        <v>58</v>
      </c>
      <c r="D706">
        <v>100</v>
      </c>
      <c r="E706">
        <v>142</v>
      </c>
      <c r="F706">
        <v>187</v>
      </c>
      <c r="G706">
        <v>60</v>
      </c>
      <c r="H706" t="str">
        <f>IF(C706&lt;=_xlfn.XLOOKUP(B706,Products!A:A,Products!I:I),"REORDER REVIEW","Stock OK")</f>
        <v>REORDER REVIEW</v>
      </c>
    </row>
    <row r="707" spans="1:8">
      <c r="A707" s="2">
        <v>45931</v>
      </c>
      <c r="B707" t="s">
        <v>186</v>
      </c>
      <c r="C707">
        <v>0</v>
      </c>
      <c r="D707">
        <v>0</v>
      </c>
      <c r="E707">
        <v>140</v>
      </c>
      <c r="F707">
        <v>187</v>
      </c>
      <c r="G707">
        <v>60</v>
      </c>
      <c r="H707" t="str">
        <f>IF(C707&lt;=_xlfn.XLOOKUP(B707,Products!A:A,Products!I:I),"REORDER REVIEW","Stock OK")</f>
        <v>REORDER REVIEW</v>
      </c>
    </row>
    <row r="708" spans="1:8">
      <c r="A708" s="2">
        <v>45962</v>
      </c>
      <c r="B708" t="s">
        <v>186</v>
      </c>
      <c r="C708">
        <v>149</v>
      </c>
      <c r="D708">
        <v>50</v>
      </c>
      <c r="E708">
        <v>151</v>
      </c>
      <c r="F708">
        <v>187</v>
      </c>
      <c r="G708">
        <v>60</v>
      </c>
      <c r="H708" t="str">
        <f>IF(C708&lt;=_xlfn.XLOOKUP(B708,Products!A:A,Products!I:I),"REORDER REVIEW","Stock OK")</f>
        <v>REORDER REVIEW</v>
      </c>
    </row>
    <row r="709" spans="1:8">
      <c r="A709" s="2">
        <v>45992</v>
      </c>
      <c r="B709" t="s">
        <v>186</v>
      </c>
      <c r="C709">
        <v>14</v>
      </c>
      <c r="D709">
        <v>100</v>
      </c>
      <c r="E709">
        <v>135</v>
      </c>
      <c r="F709">
        <v>187</v>
      </c>
      <c r="G709">
        <v>60</v>
      </c>
      <c r="H709" t="str">
        <f>IF(C709&lt;=_xlfn.XLOOKUP(B709,Products!A:A,Products!I:I),"REORDER REVIEW","Stock OK")</f>
        <v>REORDER REVIEW</v>
      </c>
    </row>
    <row r="710" spans="1:8">
      <c r="A710" s="2">
        <v>45658</v>
      </c>
      <c r="B710" t="s">
        <v>188</v>
      </c>
      <c r="C710">
        <v>300</v>
      </c>
      <c r="D710">
        <v>50</v>
      </c>
      <c r="E710">
        <v>138</v>
      </c>
      <c r="F710">
        <v>154</v>
      </c>
      <c r="G710">
        <v>130</v>
      </c>
      <c r="H710" t="str">
        <f>IF(C710&lt;=_xlfn.XLOOKUP(B710,Products!A:A,Products!I:I),"REORDER REVIEW","Stock OK")</f>
        <v>Stock OK</v>
      </c>
    </row>
    <row r="711" spans="1:8">
      <c r="A711" s="2">
        <v>45689</v>
      </c>
      <c r="B711" t="s">
        <v>188</v>
      </c>
      <c r="C711">
        <v>322</v>
      </c>
      <c r="D711">
        <v>50</v>
      </c>
      <c r="E711">
        <v>78</v>
      </c>
      <c r="F711">
        <v>154</v>
      </c>
      <c r="G711">
        <v>130</v>
      </c>
      <c r="H711" t="str">
        <f>IF(C711&lt;=_xlfn.XLOOKUP(B711,Products!A:A,Products!I:I),"REORDER REVIEW","Stock OK")</f>
        <v>Stock OK</v>
      </c>
    </row>
    <row r="712" spans="1:8">
      <c r="A712" s="2">
        <v>45717</v>
      </c>
      <c r="B712" t="s">
        <v>188</v>
      </c>
      <c r="C712">
        <v>532</v>
      </c>
      <c r="D712">
        <v>200</v>
      </c>
      <c r="E712">
        <v>90</v>
      </c>
      <c r="F712">
        <v>154</v>
      </c>
      <c r="G712">
        <v>130</v>
      </c>
      <c r="H712" t="str">
        <f>IF(C712&lt;=_xlfn.XLOOKUP(B712,Products!A:A,Products!I:I),"REORDER REVIEW","Stock OK")</f>
        <v>Stock OK</v>
      </c>
    </row>
    <row r="713" spans="1:8">
      <c r="A713" s="2">
        <v>45748</v>
      </c>
      <c r="B713" t="s">
        <v>188</v>
      </c>
      <c r="C713">
        <v>657</v>
      </c>
      <c r="D713">
        <v>100</v>
      </c>
      <c r="E713">
        <v>175</v>
      </c>
      <c r="F713">
        <v>154</v>
      </c>
      <c r="G713">
        <v>130</v>
      </c>
      <c r="H713" t="str">
        <f>IF(C713&lt;=_xlfn.XLOOKUP(B713,Products!A:A,Products!I:I),"REORDER REVIEW","Stock OK")</f>
        <v>Stock OK</v>
      </c>
    </row>
    <row r="714" spans="1:8">
      <c r="A714" s="2">
        <v>45778</v>
      </c>
      <c r="B714" t="s">
        <v>188</v>
      </c>
      <c r="C714">
        <v>881</v>
      </c>
      <c r="D714">
        <v>100</v>
      </c>
      <c r="E714">
        <v>76</v>
      </c>
      <c r="F714">
        <v>154</v>
      </c>
      <c r="G714">
        <v>130</v>
      </c>
      <c r="H714" t="str">
        <f>IF(C714&lt;=_xlfn.XLOOKUP(B714,Products!A:A,Products!I:I),"REORDER REVIEW","Stock OK")</f>
        <v>Stock OK</v>
      </c>
    </row>
    <row r="715" spans="1:8">
      <c r="A715" s="2">
        <v>45809</v>
      </c>
      <c r="B715" t="s">
        <v>188</v>
      </c>
      <c r="C715">
        <v>1020</v>
      </c>
      <c r="D715">
        <v>200</v>
      </c>
      <c r="E715">
        <v>161</v>
      </c>
      <c r="F715">
        <v>154</v>
      </c>
      <c r="G715">
        <v>130</v>
      </c>
      <c r="H715" t="str">
        <f>IF(C715&lt;=_xlfn.XLOOKUP(B715,Products!A:A,Products!I:I),"REORDER REVIEW","Stock OK")</f>
        <v>Stock OK</v>
      </c>
    </row>
    <row r="716" spans="1:8">
      <c r="A716" s="2">
        <v>45839</v>
      </c>
      <c r="B716" t="s">
        <v>188</v>
      </c>
      <c r="C716">
        <v>946</v>
      </c>
      <c r="D716">
        <v>0</v>
      </c>
      <c r="E716">
        <v>74</v>
      </c>
      <c r="F716">
        <v>154</v>
      </c>
      <c r="G716">
        <v>130</v>
      </c>
      <c r="H716" t="str">
        <f>IF(C716&lt;=_xlfn.XLOOKUP(B716,Products!A:A,Products!I:I),"REORDER REVIEW","Stock OK")</f>
        <v>Stock OK</v>
      </c>
    </row>
    <row r="717" spans="1:8">
      <c r="A717" s="2">
        <v>45870</v>
      </c>
      <c r="B717" t="s">
        <v>188</v>
      </c>
      <c r="C717">
        <v>1144</v>
      </c>
      <c r="D717">
        <v>50</v>
      </c>
      <c r="E717">
        <v>102</v>
      </c>
      <c r="F717">
        <v>154</v>
      </c>
      <c r="G717">
        <v>130</v>
      </c>
      <c r="H717" t="str">
        <f>IF(C717&lt;=_xlfn.XLOOKUP(B717,Products!A:A,Products!I:I),"REORDER REVIEW","Stock OK")</f>
        <v>Stock OK</v>
      </c>
    </row>
    <row r="718" spans="1:8">
      <c r="A718" s="2">
        <v>45901</v>
      </c>
      <c r="B718" t="s">
        <v>188</v>
      </c>
      <c r="C718">
        <v>1343</v>
      </c>
      <c r="D718">
        <v>200</v>
      </c>
      <c r="E718">
        <v>101</v>
      </c>
      <c r="F718">
        <v>154</v>
      </c>
      <c r="G718">
        <v>130</v>
      </c>
      <c r="H718" t="str">
        <f>IF(C718&lt;=_xlfn.XLOOKUP(B718,Products!A:A,Products!I:I),"REORDER REVIEW","Stock OK")</f>
        <v>Stock OK</v>
      </c>
    </row>
    <row r="719" spans="1:8">
      <c r="A719" s="2">
        <v>45931</v>
      </c>
      <c r="B719" t="s">
        <v>188</v>
      </c>
      <c r="C719">
        <v>1168</v>
      </c>
      <c r="D719">
        <v>0</v>
      </c>
      <c r="E719">
        <v>175</v>
      </c>
      <c r="F719">
        <v>154</v>
      </c>
      <c r="G719">
        <v>130</v>
      </c>
      <c r="H719" t="str">
        <f>IF(C719&lt;=_xlfn.XLOOKUP(B719,Products!A:A,Products!I:I),"REORDER REVIEW","Stock OK")</f>
        <v>Stock OK</v>
      </c>
    </row>
    <row r="720" spans="1:8">
      <c r="A720" s="2">
        <v>45962</v>
      </c>
      <c r="B720" t="s">
        <v>188</v>
      </c>
      <c r="C720">
        <v>1099</v>
      </c>
      <c r="D720">
        <v>50</v>
      </c>
      <c r="E720">
        <v>69</v>
      </c>
      <c r="F720">
        <v>154</v>
      </c>
      <c r="G720">
        <v>130</v>
      </c>
      <c r="H720" t="str">
        <f>IF(C720&lt;=_xlfn.XLOOKUP(B720,Products!A:A,Products!I:I),"REORDER REVIEW","Stock OK")</f>
        <v>Stock OK</v>
      </c>
    </row>
    <row r="721" spans="1:8">
      <c r="A721" s="2">
        <v>45992</v>
      </c>
      <c r="B721" t="s">
        <v>188</v>
      </c>
      <c r="C721">
        <v>1183</v>
      </c>
      <c r="D721">
        <v>100</v>
      </c>
      <c r="E721">
        <v>116</v>
      </c>
      <c r="F721">
        <v>154</v>
      </c>
      <c r="G721">
        <v>130</v>
      </c>
      <c r="H721" t="str">
        <f>IF(C721&lt;=_xlfn.XLOOKUP(B721,Products!A:A,Products!I:I),"REORDER REVIEW","Stock OK")</f>
        <v>Stock OK</v>
      </c>
    </row>
    <row r="722" spans="1:8">
      <c r="A722" s="2">
        <v>45658</v>
      </c>
      <c r="B722" t="s">
        <v>190</v>
      </c>
      <c r="C722">
        <v>284</v>
      </c>
      <c r="D722">
        <v>50</v>
      </c>
      <c r="E722">
        <v>281</v>
      </c>
      <c r="F722">
        <v>149</v>
      </c>
      <c r="G722">
        <v>81</v>
      </c>
      <c r="H722" t="str">
        <f>IF(C722&lt;=_xlfn.XLOOKUP(B722,Products!A:A,Products!I:I),"REORDER REVIEW","Stock OK")</f>
        <v>Stock OK</v>
      </c>
    </row>
    <row r="723" spans="1:8">
      <c r="A723" s="2">
        <v>45689</v>
      </c>
      <c r="B723" t="s">
        <v>190</v>
      </c>
      <c r="C723">
        <v>436</v>
      </c>
      <c r="D723">
        <v>50</v>
      </c>
      <c r="E723">
        <v>148</v>
      </c>
      <c r="F723">
        <v>149</v>
      </c>
      <c r="G723">
        <v>81</v>
      </c>
      <c r="H723" t="str">
        <f>IF(C723&lt;=_xlfn.XLOOKUP(B723,Products!A:A,Products!I:I),"REORDER REVIEW","Stock OK")</f>
        <v>Stock OK</v>
      </c>
    </row>
    <row r="724" spans="1:8">
      <c r="A724" s="2">
        <v>45717</v>
      </c>
      <c r="B724" t="s">
        <v>190</v>
      </c>
      <c r="C724">
        <v>284</v>
      </c>
      <c r="D724">
        <v>0</v>
      </c>
      <c r="E724">
        <v>352</v>
      </c>
      <c r="F724">
        <v>149</v>
      </c>
      <c r="G724">
        <v>81</v>
      </c>
      <c r="H724" t="str">
        <f>IF(C724&lt;=_xlfn.XLOOKUP(B724,Products!A:A,Products!I:I),"REORDER REVIEW","Stock OK")</f>
        <v>Stock OK</v>
      </c>
    </row>
    <row r="725" spans="1:8">
      <c r="A725" s="2">
        <v>45748</v>
      </c>
      <c r="B725" t="s">
        <v>190</v>
      </c>
      <c r="C725">
        <v>28</v>
      </c>
      <c r="D725">
        <v>200</v>
      </c>
      <c r="E725">
        <v>456</v>
      </c>
      <c r="F725">
        <v>149</v>
      </c>
      <c r="G725">
        <v>81</v>
      </c>
      <c r="H725" t="str">
        <f>IF(C725&lt;=_xlfn.XLOOKUP(B725,Products!A:A,Products!I:I),"REORDER REVIEW","Stock OK")</f>
        <v>REORDER REVIEW</v>
      </c>
    </row>
    <row r="726" spans="1:8">
      <c r="A726" s="2">
        <v>45778</v>
      </c>
      <c r="B726" t="s">
        <v>190</v>
      </c>
      <c r="C726">
        <v>197</v>
      </c>
      <c r="D726">
        <v>200</v>
      </c>
      <c r="E726">
        <v>131</v>
      </c>
      <c r="F726">
        <v>149</v>
      </c>
      <c r="G726">
        <v>81</v>
      </c>
      <c r="H726" t="str">
        <f>IF(C726&lt;=_xlfn.XLOOKUP(B726,Products!A:A,Products!I:I),"REORDER REVIEW","Stock OK")</f>
        <v>Stock OK</v>
      </c>
    </row>
    <row r="727" spans="1:8">
      <c r="A727" s="2">
        <v>45809</v>
      </c>
      <c r="B727" t="s">
        <v>190</v>
      </c>
      <c r="C727">
        <v>54</v>
      </c>
      <c r="D727">
        <v>0</v>
      </c>
      <c r="E727">
        <v>243</v>
      </c>
      <c r="F727">
        <v>149</v>
      </c>
      <c r="G727">
        <v>81</v>
      </c>
      <c r="H727" t="str">
        <f>IF(C727&lt;=_xlfn.XLOOKUP(B727,Products!A:A,Products!I:I),"REORDER REVIEW","Stock OK")</f>
        <v>REORDER REVIEW</v>
      </c>
    </row>
    <row r="728" spans="1:8">
      <c r="A728" s="2">
        <v>45839</v>
      </c>
      <c r="B728" t="s">
        <v>190</v>
      </c>
      <c r="C728">
        <v>0</v>
      </c>
      <c r="D728">
        <v>0</v>
      </c>
      <c r="E728">
        <v>214</v>
      </c>
      <c r="F728">
        <v>149</v>
      </c>
      <c r="G728">
        <v>81</v>
      </c>
      <c r="H728" t="str">
        <f>IF(C728&lt;=_xlfn.XLOOKUP(B728,Products!A:A,Products!I:I),"REORDER REVIEW","Stock OK")</f>
        <v>REORDER REVIEW</v>
      </c>
    </row>
    <row r="729" spans="1:8">
      <c r="A729" s="2">
        <v>45870</v>
      </c>
      <c r="B729" t="s">
        <v>190</v>
      </c>
      <c r="C729">
        <v>0</v>
      </c>
      <c r="D729">
        <v>50</v>
      </c>
      <c r="E729">
        <v>348</v>
      </c>
      <c r="F729">
        <v>149</v>
      </c>
      <c r="G729">
        <v>81</v>
      </c>
      <c r="H729" t="str">
        <f>IF(C729&lt;=_xlfn.XLOOKUP(B729,Products!A:A,Products!I:I),"REORDER REVIEW","Stock OK")</f>
        <v>REORDER REVIEW</v>
      </c>
    </row>
    <row r="730" spans="1:8">
      <c r="A730" s="2">
        <v>45901</v>
      </c>
      <c r="B730" t="s">
        <v>190</v>
      </c>
      <c r="C730">
        <v>0</v>
      </c>
      <c r="D730">
        <v>50</v>
      </c>
      <c r="E730">
        <v>386</v>
      </c>
      <c r="F730">
        <v>149</v>
      </c>
      <c r="G730">
        <v>81</v>
      </c>
      <c r="H730" t="str">
        <f>IF(C730&lt;=_xlfn.XLOOKUP(B730,Products!A:A,Products!I:I),"REORDER REVIEW","Stock OK")</f>
        <v>REORDER REVIEW</v>
      </c>
    </row>
    <row r="731" spans="1:8">
      <c r="A731" s="2">
        <v>45931</v>
      </c>
      <c r="B731" t="s">
        <v>190</v>
      </c>
      <c r="C731">
        <v>84</v>
      </c>
      <c r="D731">
        <v>0</v>
      </c>
      <c r="E731">
        <v>216</v>
      </c>
      <c r="F731">
        <v>149</v>
      </c>
      <c r="G731">
        <v>81</v>
      </c>
      <c r="H731" t="str">
        <f>IF(C731&lt;=_xlfn.XLOOKUP(B731,Products!A:A,Products!I:I),"REORDER REVIEW","Stock OK")</f>
        <v>REORDER REVIEW</v>
      </c>
    </row>
    <row r="732" spans="1:8">
      <c r="A732" s="2">
        <v>45962</v>
      </c>
      <c r="B732" t="s">
        <v>190</v>
      </c>
      <c r="C732">
        <v>0</v>
      </c>
      <c r="D732">
        <v>0</v>
      </c>
      <c r="E732">
        <v>218</v>
      </c>
      <c r="F732">
        <v>149</v>
      </c>
      <c r="G732">
        <v>81</v>
      </c>
      <c r="H732" t="str">
        <f>IF(C732&lt;=_xlfn.XLOOKUP(B732,Products!A:A,Products!I:I),"REORDER REVIEW","Stock OK")</f>
        <v>REORDER REVIEW</v>
      </c>
    </row>
    <row r="733" spans="1:8">
      <c r="A733" s="2">
        <v>45992</v>
      </c>
      <c r="B733" t="s">
        <v>190</v>
      </c>
      <c r="C733">
        <v>0</v>
      </c>
      <c r="D733">
        <v>200</v>
      </c>
      <c r="E733">
        <v>292</v>
      </c>
      <c r="F733">
        <v>149</v>
      </c>
      <c r="G733">
        <v>81</v>
      </c>
      <c r="H733" t="str">
        <f>IF(C733&lt;=_xlfn.XLOOKUP(B733,Products!A:A,Products!I:I),"REORDER REVIEW","Stock OK")</f>
        <v>REORDER REVIEW</v>
      </c>
    </row>
    <row r="734" spans="1:8">
      <c r="A734" s="2">
        <v>45658</v>
      </c>
      <c r="B734" t="s">
        <v>192</v>
      </c>
      <c r="C734">
        <v>0</v>
      </c>
      <c r="D734">
        <v>0</v>
      </c>
      <c r="E734">
        <v>692</v>
      </c>
      <c r="F734">
        <v>257</v>
      </c>
      <c r="G734">
        <v>81</v>
      </c>
      <c r="H734" t="str">
        <f>IF(C734&lt;=_xlfn.XLOOKUP(B734,Products!A:A,Products!I:I),"REORDER REVIEW","Stock OK")</f>
        <v>REORDER REVIEW</v>
      </c>
    </row>
    <row r="735" spans="1:8">
      <c r="A735" s="2">
        <v>45689</v>
      </c>
      <c r="B735" t="s">
        <v>192</v>
      </c>
      <c r="C735">
        <v>0</v>
      </c>
      <c r="D735">
        <v>0</v>
      </c>
      <c r="E735">
        <v>546</v>
      </c>
      <c r="F735">
        <v>257</v>
      </c>
      <c r="G735">
        <v>81</v>
      </c>
      <c r="H735" t="str">
        <f>IF(C735&lt;=_xlfn.XLOOKUP(B735,Products!A:A,Products!I:I),"REORDER REVIEW","Stock OK")</f>
        <v>REORDER REVIEW</v>
      </c>
    </row>
    <row r="736" spans="1:8">
      <c r="A736" s="2">
        <v>45717</v>
      </c>
      <c r="B736" t="s">
        <v>192</v>
      </c>
      <c r="C736">
        <v>0</v>
      </c>
      <c r="D736">
        <v>0</v>
      </c>
      <c r="E736">
        <v>574</v>
      </c>
      <c r="F736">
        <v>257</v>
      </c>
      <c r="G736">
        <v>81</v>
      </c>
      <c r="H736" t="str">
        <f>IF(C736&lt;=_xlfn.XLOOKUP(B736,Products!A:A,Products!I:I),"REORDER REVIEW","Stock OK")</f>
        <v>REORDER REVIEW</v>
      </c>
    </row>
    <row r="737" spans="1:8">
      <c r="A737" s="2">
        <v>45748</v>
      </c>
      <c r="B737" t="s">
        <v>192</v>
      </c>
      <c r="C737">
        <v>0</v>
      </c>
      <c r="D737">
        <v>50</v>
      </c>
      <c r="E737">
        <v>711</v>
      </c>
      <c r="F737">
        <v>257</v>
      </c>
      <c r="G737">
        <v>81</v>
      </c>
      <c r="H737" t="str">
        <f>IF(C737&lt;=_xlfn.XLOOKUP(B737,Products!A:A,Products!I:I),"REORDER REVIEW","Stock OK")</f>
        <v>REORDER REVIEW</v>
      </c>
    </row>
    <row r="738" spans="1:8">
      <c r="A738" s="2">
        <v>45778</v>
      </c>
      <c r="B738" t="s">
        <v>192</v>
      </c>
      <c r="C738">
        <v>0</v>
      </c>
      <c r="D738">
        <v>50</v>
      </c>
      <c r="E738">
        <v>609</v>
      </c>
      <c r="F738">
        <v>257</v>
      </c>
      <c r="G738">
        <v>81</v>
      </c>
      <c r="H738" t="str">
        <f>IF(C738&lt;=_xlfn.XLOOKUP(B738,Products!A:A,Products!I:I),"REORDER REVIEW","Stock OK")</f>
        <v>REORDER REVIEW</v>
      </c>
    </row>
    <row r="739" spans="1:8">
      <c r="A739" s="2">
        <v>45809</v>
      </c>
      <c r="B739" t="s">
        <v>192</v>
      </c>
      <c r="C739">
        <v>0</v>
      </c>
      <c r="D739">
        <v>0</v>
      </c>
      <c r="E739">
        <v>734</v>
      </c>
      <c r="F739">
        <v>257</v>
      </c>
      <c r="G739">
        <v>81</v>
      </c>
      <c r="H739" t="str">
        <f>IF(C739&lt;=_xlfn.XLOOKUP(B739,Products!A:A,Products!I:I),"REORDER REVIEW","Stock OK")</f>
        <v>REORDER REVIEW</v>
      </c>
    </row>
    <row r="740" spans="1:8">
      <c r="A740" s="2">
        <v>45839</v>
      </c>
      <c r="B740" t="s">
        <v>192</v>
      </c>
      <c r="C740">
        <v>0</v>
      </c>
      <c r="D740">
        <v>0</v>
      </c>
      <c r="E740">
        <v>385</v>
      </c>
      <c r="F740">
        <v>257</v>
      </c>
      <c r="G740">
        <v>81</v>
      </c>
      <c r="H740" t="str">
        <f>IF(C740&lt;=_xlfn.XLOOKUP(B740,Products!A:A,Products!I:I),"REORDER REVIEW","Stock OK")</f>
        <v>REORDER REVIEW</v>
      </c>
    </row>
    <row r="741" spans="1:8">
      <c r="A741" s="2">
        <v>45870</v>
      </c>
      <c r="B741" t="s">
        <v>192</v>
      </c>
      <c r="C741">
        <v>0</v>
      </c>
      <c r="D741">
        <v>0</v>
      </c>
      <c r="E741">
        <v>459</v>
      </c>
      <c r="F741">
        <v>257</v>
      </c>
      <c r="G741">
        <v>81</v>
      </c>
      <c r="H741" t="str">
        <f>IF(C741&lt;=_xlfn.XLOOKUP(B741,Products!A:A,Products!I:I),"REORDER REVIEW","Stock OK")</f>
        <v>REORDER REVIEW</v>
      </c>
    </row>
    <row r="742" spans="1:8">
      <c r="A742" s="2">
        <v>45901</v>
      </c>
      <c r="B742" t="s">
        <v>192</v>
      </c>
      <c r="C742">
        <v>0</v>
      </c>
      <c r="D742">
        <v>0</v>
      </c>
      <c r="E742">
        <v>880</v>
      </c>
      <c r="F742">
        <v>257</v>
      </c>
      <c r="G742">
        <v>81</v>
      </c>
      <c r="H742" t="str">
        <f>IF(C742&lt;=_xlfn.XLOOKUP(B742,Products!A:A,Products!I:I),"REORDER REVIEW","Stock OK")</f>
        <v>REORDER REVIEW</v>
      </c>
    </row>
    <row r="743" spans="1:8">
      <c r="A743" s="2">
        <v>45931</v>
      </c>
      <c r="B743" t="s">
        <v>192</v>
      </c>
      <c r="C743">
        <v>0</v>
      </c>
      <c r="D743">
        <v>0</v>
      </c>
      <c r="E743">
        <v>752</v>
      </c>
      <c r="F743">
        <v>257</v>
      </c>
      <c r="G743">
        <v>81</v>
      </c>
      <c r="H743" t="str">
        <f>IF(C743&lt;=_xlfn.XLOOKUP(B743,Products!A:A,Products!I:I),"REORDER REVIEW","Stock OK")</f>
        <v>REORDER REVIEW</v>
      </c>
    </row>
    <row r="744" spans="1:8">
      <c r="A744" s="2">
        <v>45962</v>
      </c>
      <c r="B744" t="s">
        <v>192</v>
      </c>
      <c r="C744">
        <v>0</v>
      </c>
      <c r="D744">
        <v>100</v>
      </c>
      <c r="E744">
        <v>658</v>
      </c>
      <c r="F744">
        <v>257</v>
      </c>
      <c r="G744">
        <v>81</v>
      </c>
      <c r="H744" t="str">
        <f>IF(C744&lt;=_xlfn.XLOOKUP(B744,Products!A:A,Products!I:I),"REORDER REVIEW","Stock OK")</f>
        <v>REORDER REVIEW</v>
      </c>
    </row>
    <row r="745" spans="1:8">
      <c r="A745" s="2">
        <v>45992</v>
      </c>
      <c r="B745" t="s">
        <v>192</v>
      </c>
      <c r="C745">
        <v>0</v>
      </c>
      <c r="D745">
        <v>200</v>
      </c>
      <c r="E745">
        <v>690</v>
      </c>
      <c r="F745">
        <v>257</v>
      </c>
      <c r="G745">
        <v>81</v>
      </c>
      <c r="H745" t="str">
        <f>IF(C745&lt;=_xlfn.XLOOKUP(B745,Products!A:A,Products!I:I),"REORDER REVIEW","Stock OK")</f>
        <v>REORDER REVIEW</v>
      </c>
    </row>
    <row r="746" spans="1:8">
      <c r="A746" s="2">
        <v>45658</v>
      </c>
      <c r="B746" t="s">
        <v>194</v>
      </c>
      <c r="C746">
        <v>0</v>
      </c>
      <c r="D746">
        <v>200</v>
      </c>
      <c r="E746">
        <v>351</v>
      </c>
      <c r="F746">
        <v>361</v>
      </c>
      <c r="G746">
        <v>141</v>
      </c>
      <c r="H746" t="str">
        <f>IF(C746&lt;=_xlfn.XLOOKUP(B746,Products!A:A,Products!I:I),"REORDER REVIEW","Stock OK")</f>
        <v>REORDER REVIEW</v>
      </c>
    </row>
    <row r="747" spans="1:8">
      <c r="A747" s="2">
        <v>45689</v>
      </c>
      <c r="B747" t="s">
        <v>194</v>
      </c>
      <c r="C747">
        <v>0</v>
      </c>
      <c r="D747">
        <v>0</v>
      </c>
      <c r="E747">
        <v>969</v>
      </c>
      <c r="F747">
        <v>361</v>
      </c>
      <c r="G747">
        <v>141</v>
      </c>
      <c r="H747" t="str">
        <f>IF(C747&lt;=_xlfn.XLOOKUP(B747,Products!A:A,Products!I:I),"REORDER REVIEW","Stock OK")</f>
        <v>REORDER REVIEW</v>
      </c>
    </row>
    <row r="748" spans="1:8">
      <c r="A748" s="2">
        <v>45717</v>
      </c>
      <c r="B748" t="s">
        <v>194</v>
      </c>
      <c r="C748">
        <v>0</v>
      </c>
      <c r="D748">
        <v>0</v>
      </c>
      <c r="E748">
        <v>1135</v>
      </c>
      <c r="F748">
        <v>361</v>
      </c>
      <c r="G748">
        <v>141</v>
      </c>
      <c r="H748" t="str">
        <f>IF(C748&lt;=_xlfn.XLOOKUP(B748,Products!A:A,Products!I:I),"REORDER REVIEW","Stock OK")</f>
        <v>REORDER REVIEW</v>
      </c>
    </row>
    <row r="749" spans="1:8">
      <c r="A749" s="2">
        <v>45748</v>
      </c>
      <c r="B749" t="s">
        <v>194</v>
      </c>
      <c r="C749">
        <v>0</v>
      </c>
      <c r="D749">
        <v>200</v>
      </c>
      <c r="E749">
        <v>373</v>
      </c>
      <c r="F749">
        <v>361</v>
      </c>
      <c r="G749">
        <v>141</v>
      </c>
      <c r="H749" t="str">
        <f>IF(C749&lt;=_xlfn.XLOOKUP(B749,Products!A:A,Products!I:I),"REORDER REVIEW","Stock OK")</f>
        <v>REORDER REVIEW</v>
      </c>
    </row>
    <row r="750" spans="1:8">
      <c r="A750" s="2">
        <v>45778</v>
      </c>
      <c r="B750" t="s">
        <v>194</v>
      </c>
      <c r="C750">
        <v>0</v>
      </c>
      <c r="D750">
        <v>0</v>
      </c>
      <c r="E750">
        <v>591</v>
      </c>
      <c r="F750">
        <v>361</v>
      </c>
      <c r="G750">
        <v>141</v>
      </c>
      <c r="H750" t="str">
        <f>IF(C750&lt;=_xlfn.XLOOKUP(B750,Products!A:A,Products!I:I),"REORDER REVIEW","Stock OK")</f>
        <v>REORDER REVIEW</v>
      </c>
    </row>
    <row r="751" spans="1:8">
      <c r="A751" s="2">
        <v>45809</v>
      </c>
      <c r="B751" t="s">
        <v>194</v>
      </c>
      <c r="C751">
        <v>0</v>
      </c>
      <c r="D751">
        <v>200</v>
      </c>
      <c r="E751">
        <v>607</v>
      </c>
      <c r="F751">
        <v>361</v>
      </c>
      <c r="G751">
        <v>141</v>
      </c>
      <c r="H751" t="str">
        <f>IF(C751&lt;=_xlfn.XLOOKUP(B751,Products!A:A,Products!I:I),"REORDER REVIEW","Stock OK")</f>
        <v>REORDER REVIEW</v>
      </c>
    </row>
    <row r="752" spans="1:8">
      <c r="A752" s="2">
        <v>45839</v>
      </c>
      <c r="B752" t="s">
        <v>194</v>
      </c>
      <c r="C752">
        <v>0</v>
      </c>
      <c r="D752">
        <v>0</v>
      </c>
      <c r="E752">
        <v>306</v>
      </c>
      <c r="F752">
        <v>361</v>
      </c>
      <c r="G752">
        <v>141</v>
      </c>
      <c r="H752" t="str">
        <f>IF(C752&lt;=_xlfn.XLOOKUP(B752,Products!A:A,Products!I:I),"REORDER REVIEW","Stock OK")</f>
        <v>REORDER REVIEW</v>
      </c>
    </row>
    <row r="753" spans="1:8">
      <c r="A753" s="2">
        <v>45870</v>
      </c>
      <c r="B753" t="s">
        <v>194</v>
      </c>
      <c r="C753">
        <v>0</v>
      </c>
      <c r="D753">
        <v>0</v>
      </c>
      <c r="E753">
        <v>458</v>
      </c>
      <c r="F753">
        <v>361</v>
      </c>
      <c r="G753">
        <v>141</v>
      </c>
      <c r="H753" t="str">
        <f>IF(C753&lt;=_xlfn.XLOOKUP(B753,Products!A:A,Products!I:I),"REORDER REVIEW","Stock OK")</f>
        <v>REORDER REVIEW</v>
      </c>
    </row>
    <row r="754" spans="1:8">
      <c r="A754" s="2">
        <v>45901</v>
      </c>
      <c r="B754" t="s">
        <v>194</v>
      </c>
      <c r="C754">
        <v>0</v>
      </c>
      <c r="D754">
        <v>200</v>
      </c>
      <c r="E754">
        <v>766</v>
      </c>
      <c r="F754">
        <v>361</v>
      </c>
      <c r="G754">
        <v>141</v>
      </c>
      <c r="H754" t="str">
        <f>IF(C754&lt;=_xlfn.XLOOKUP(B754,Products!A:A,Products!I:I),"REORDER REVIEW","Stock OK")</f>
        <v>REORDER REVIEW</v>
      </c>
    </row>
    <row r="755" spans="1:8">
      <c r="A755" s="2">
        <v>45931</v>
      </c>
      <c r="B755" t="s">
        <v>194</v>
      </c>
      <c r="C755">
        <v>0</v>
      </c>
      <c r="D755">
        <v>0</v>
      </c>
      <c r="E755">
        <v>711</v>
      </c>
      <c r="F755">
        <v>361</v>
      </c>
      <c r="G755">
        <v>141</v>
      </c>
      <c r="H755" t="str">
        <f>IF(C755&lt;=_xlfn.XLOOKUP(B755,Products!A:A,Products!I:I),"REORDER REVIEW","Stock OK")</f>
        <v>REORDER REVIEW</v>
      </c>
    </row>
    <row r="756" spans="1:8">
      <c r="A756" s="2">
        <v>45962</v>
      </c>
      <c r="B756" t="s">
        <v>194</v>
      </c>
      <c r="C756">
        <v>0</v>
      </c>
      <c r="D756">
        <v>0</v>
      </c>
      <c r="E756">
        <v>810</v>
      </c>
      <c r="F756">
        <v>361</v>
      </c>
      <c r="G756">
        <v>141</v>
      </c>
      <c r="H756" t="str">
        <f>IF(C756&lt;=_xlfn.XLOOKUP(B756,Products!A:A,Products!I:I),"REORDER REVIEW","Stock OK")</f>
        <v>REORDER REVIEW</v>
      </c>
    </row>
    <row r="757" spans="1:8">
      <c r="A757" s="2">
        <v>45992</v>
      </c>
      <c r="B757" t="s">
        <v>194</v>
      </c>
      <c r="C757">
        <v>0</v>
      </c>
      <c r="D757">
        <v>100</v>
      </c>
      <c r="E757">
        <v>819</v>
      </c>
      <c r="F757">
        <v>361</v>
      </c>
      <c r="G757">
        <v>141</v>
      </c>
      <c r="H757" t="str">
        <f>IF(C757&lt;=_xlfn.XLOOKUP(B757,Products!A:A,Products!I:I),"REORDER REVIEW","Stock OK")</f>
        <v>REORDER REVIEW</v>
      </c>
    </row>
    <row r="758" spans="1:8">
      <c r="A758" s="2">
        <v>45658</v>
      </c>
      <c r="B758" t="s">
        <v>196</v>
      </c>
      <c r="C758">
        <v>254</v>
      </c>
      <c r="D758">
        <v>0</v>
      </c>
      <c r="E758">
        <v>128</v>
      </c>
      <c r="F758">
        <v>177</v>
      </c>
      <c r="G758">
        <v>151</v>
      </c>
      <c r="H758" t="str">
        <f>IF(C758&lt;=_xlfn.XLOOKUP(B758,Products!A:A,Products!I:I),"REORDER REVIEW","Stock OK")</f>
        <v>Stock OK</v>
      </c>
    </row>
    <row r="759" spans="1:8">
      <c r="A759" s="2">
        <v>45689</v>
      </c>
      <c r="B759" t="s">
        <v>196</v>
      </c>
      <c r="C759">
        <v>268</v>
      </c>
      <c r="D759">
        <v>0</v>
      </c>
      <c r="E759">
        <v>86</v>
      </c>
      <c r="F759">
        <v>177</v>
      </c>
      <c r="G759">
        <v>151</v>
      </c>
      <c r="H759" t="str">
        <f>IF(C759&lt;=_xlfn.XLOOKUP(B759,Products!A:A,Products!I:I),"REORDER REVIEW","Stock OK")</f>
        <v>Stock OK</v>
      </c>
    </row>
    <row r="760" spans="1:8">
      <c r="A760" s="2">
        <v>45717</v>
      </c>
      <c r="B760" t="s">
        <v>196</v>
      </c>
      <c r="C760">
        <v>181</v>
      </c>
      <c r="D760">
        <v>0</v>
      </c>
      <c r="E760">
        <v>87</v>
      </c>
      <c r="F760">
        <v>177</v>
      </c>
      <c r="G760">
        <v>151</v>
      </c>
      <c r="H760" t="str">
        <f>IF(C760&lt;=_xlfn.XLOOKUP(B760,Products!A:A,Products!I:I),"REORDER REVIEW","Stock OK")</f>
        <v>Stock OK</v>
      </c>
    </row>
    <row r="761" spans="1:8">
      <c r="A761" s="2">
        <v>45748</v>
      </c>
      <c r="B761" t="s">
        <v>196</v>
      </c>
      <c r="C761">
        <v>18</v>
      </c>
      <c r="D761">
        <v>100</v>
      </c>
      <c r="E761">
        <v>163</v>
      </c>
      <c r="F761">
        <v>177</v>
      </c>
      <c r="G761">
        <v>151</v>
      </c>
      <c r="H761" t="str">
        <f>IF(C761&lt;=_xlfn.XLOOKUP(B761,Products!A:A,Products!I:I),"REORDER REVIEW","Stock OK")</f>
        <v>REORDER REVIEW</v>
      </c>
    </row>
    <row r="762" spans="1:8">
      <c r="A762" s="2">
        <v>45778</v>
      </c>
      <c r="B762" t="s">
        <v>196</v>
      </c>
      <c r="C762">
        <v>0</v>
      </c>
      <c r="D762">
        <v>100</v>
      </c>
      <c r="E762">
        <v>86</v>
      </c>
      <c r="F762">
        <v>177</v>
      </c>
      <c r="G762">
        <v>151</v>
      </c>
      <c r="H762" t="str">
        <f>IF(C762&lt;=_xlfn.XLOOKUP(B762,Products!A:A,Products!I:I),"REORDER REVIEW","Stock OK")</f>
        <v>REORDER REVIEW</v>
      </c>
    </row>
    <row r="763" spans="1:8">
      <c r="A763" s="2">
        <v>45809</v>
      </c>
      <c r="B763" t="s">
        <v>196</v>
      </c>
      <c r="C763">
        <v>0</v>
      </c>
      <c r="D763">
        <v>0</v>
      </c>
      <c r="E763">
        <v>141</v>
      </c>
      <c r="F763">
        <v>177</v>
      </c>
      <c r="G763">
        <v>151</v>
      </c>
      <c r="H763" t="str">
        <f>IF(C763&lt;=_xlfn.XLOOKUP(B763,Products!A:A,Products!I:I),"REORDER REVIEW","Stock OK")</f>
        <v>REORDER REVIEW</v>
      </c>
    </row>
    <row r="764" spans="1:8">
      <c r="A764" s="2">
        <v>45839</v>
      </c>
      <c r="B764" t="s">
        <v>196</v>
      </c>
      <c r="C764">
        <v>0</v>
      </c>
      <c r="D764">
        <v>0</v>
      </c>
      <c r="E764">
        <v>161</v>
      </c>
      <c r="F764">
        <v>177</v>
      </c>
      <c r="G764">
        <v>151</v>
      </c>
      <c r="H764" t="str">
        <f>IF(C764&lt;=_xlfn.XLOOKUP(B764,Products!A:A,Products!I:I),"REORDER REVIEW","Stock OK")</f>
        <v>REORDER REVIEW</v>
      </c>
    </row>
    <row r="765" spans="1:8">
      <c r="A765" s="2">
        <v>45870</v>
      </c>
      <c r="B765" t="s">
        <v>196</v>
      </c>
      <c r="C765">
        <v>0</v>
      </c>
      <c r="D765">
        <v>100</v>
      </c>
      <c r="E765">
        <v>91</v>
      </c>
      <c r="F765">
        <v>177</v>
      </c>
      <c r="G765">
        <v>151</v>
      </c>
      <c r="H765" t="str">
        <f>IF(C765&lt;=_xlfn.XLOOKUP(B765,Products!A:A,Products!I:I),"REORDER REVIEW","Stock OK")</f>
        <v>REORDER REVIEW</v>
      </c>
    </row>
    <row r="766" spans="1:8">
      <c r="A766" s="2">
        <v>45901</v>
      </c>
      <c r="B766" t="s">
        <v>196</v>
      </c>
      <c r="C766">
        <v>0</v>
      </c>
      <c r="D766">
        <v>50</v>
      </c>
      <c r="E766">
        <v>63</v>
      </c>
      <c r="F766">
        <v>177</v>
      </c>
      <c r="G766">
        <v>151</v>
      </c>
      <c r="H766" t="str">
        <f>IF(C766&lt;=_xlfn.XLOOKUP(B766,Products!A:A,Products!I:I),"REORDER REVIEW","Stock OK")</f>
        <v>REORDER REVIEW</v>
      </c>
    </row>
    <row r="767" spans="1:8">
      <c r="A767" s="2">
        <v>45931</v>
      </c>
      <c r="B767" t="s">
        <v>196</v>
      </c>
      <c r="C767">
        <v>0</v>
      </c>
      <c r="D767">
        <v>100</v>
      </c>
      <c r="E767">
        <v>75</v>
      </c>
      <c r="F767">
        <v>177</v>
      </c>
      <c r="G767">
        <v>151</v>
      </c>
      <c r="H767" t="str">
        <f>IF(C767&lt;=_xlfn.XLOOKUP(B767,Products!A:A,Products!I:I),"REORDER REVIEW","Stock OK")</f>
        <v>REORDER REVIEW</v>
      </c>
    </row>
    <row r="768" spans="1:8">
      <c r="A768" s="2">
        <v>45962</v>
      </c>
      <c r="B768" t="s">
        <v>196</v>
      </c>
      <c r="C768">
        <v>0</v>
      </c>
      <c r="D768">
        <v>200</v>
      </c>
      <c r="E768">
        <v>102</v>
      </c>
      <c r="F768">
        <v>177</v>
      </c>
      <c r="G768">
        <v>151</v>
      </c>
      <c r="H768" t="str">
        <f>IF(C768&lt;=_xlfn.XLOOKUP(B768,Products!A:A,Products!I:I),"REORDER REVIEW","Stock OK")</f>
        <v>REORDER REVIEW</v>
      </c>
    </row>
    <row r="769" spans="1:8">
      <c r="A769" s="2">
        <v>45992</v>
      </c>
      <c r="B769" t="s">
        <v>196</v>
      </c>
      <c r="C769">
        <v>0</v>
      </c>
      <c r="D769">
        <v>50</v>
      </c>
      <c r="E769">
        <v>201</v>
      </c>
      <c r="F769">
        <v>177</v>
      </c>
      <c r="G769">
        <v>151</v>
      </c>
      <c r="H769" t="str">
        <f>IF(C769&lt;=_xlfn.XLOOKUP(B769,Products!A:A,Products!I:I),"REORDER REVIEW","Stock OK")</f>
        <v>REORDER REVIEW</v>
      </c>
    </row>
    <row r="770" spans="1:8">
      <c r="A770" s="2">
        <v>45658</v>
      </c>
      <c r="B770" t="s">
        <v>198</v>
      </c>
      <c r="C770">
        <v>0</v>
      </c>
      <c r="D770">
        <v>200</v>
      </c>
      <c r="E770">
        <v>540</v>
      </c>
      <c r="F770">
        <v>638</v>
      </c>
      <c r="G770">
        <v>40</v>
      </c>
      <c r="H770" t="str">
        <f>IF(C770&lt;=_xlfn.XLOOKUP(B770,Products!A:A,Products!I:I),"REORDER REVIEW","Stock OK")</f>
        <v>REORDER REVIEW</v>
      </c>
    </row>
    <row r="771" spans="1:8">
      <c r="A771" s="2">
        <v>45689</v>
      </c>
      <c r="B771" t="s">
        <v>198</v>
      </c>
      <c r="C771">
        <v>0</v>
      </c>
      <c r="D771">
        <v>0</v>
      </c>
      <c r="E771">
        <v>733</v>
      </c>
      <c r="F771">
        <v>638</v>
      </c>
      <c r="G771">
        <v>40</v>
      </c>
      <c r="H771" t="str">
        <f>IF(C771&lt;=_xlfn.XLOOKUP(B771,Products!A:A,Products!I:I),"REORDER REVIEW","Stock OK")</f>
        <v>REORDER REVIEW</v>
      </c>
    </row>
    <row r="772" spans="1:8">
      <c r="A772" s="2">
        <v>45717</v>
      </c>
      <c r="B772" t="s">
        <v>198</v>
      </c>
      <c r="C772">
        <v>0</v>
      </c>
      <c r="D772">
        <v>0</v>
      </c>
      <c r="E772">
        <v>680</v>
      </c>
      <c r="F772">
        <v>638</v>
      </c>
      <c r="G772">
        <v>40</v>
      </c>
      <c r="H772" t="str">
        <f>IF(C772&lt;=_xlfn.XLOOKUP(B772,Products!A:A,Products!I:I),"REORDER REVIEW","Stock OK")</f>
        <v>REORDER REVIEW</v>
      </c>
    </row>
    <row r="773" spans="1:8">
      <c r="A773" s="2">
        <v>45748</v>
      </c>
      <c r="B773" t="s">
        <v>198</v>
      </c>
      <c r="C773">
        <v>0</v>
      </c>
      <c r="D773">
        <v>0</v>
      </c>
      <c r="E773">
        <v>571</v>
      </c>
      <c r="F773">
        <v>638</v>
      </c>
      <c r="G773">
        <v>40</v>
      </c>
      <c r="H773" t="str">
        <f>IF(C773&lt;=_xlfn.XLOOKUP(B773,Products!A:A,Products!I:I),"REORDER REVIEW","Stock OK")</f>
        <v>REORDER REVIEW</v>
      </c>
    </row>
    <row r="774" spans="1:8">
      <c r="A774" s="2">
        <v>45778</v>
      </c>
      <c r="B774" t="s">
        <v>198</v>
      </c>
      <c r="C774">
        <v>0</v>
      </c>
      <c r="D774">
        <v>50</v>
      </c>
      <c r="E774">
        <v>647</v>
      </c>
      <c r="F774">
        <v>638</v>
      </c>
      <c r="G774">
        <v>40</v>
      </c>
      <c r="H774" t="str">
        <f>IF(C774&lt;=_xlfn.XLOOKUP(B774,Products!A:A,Products!I:I),"REORDER REVIEW","Stock OK")</f>
        <v>REORDER REVIEW</v>
      </c>
    </row>
    <row r="775" spans="1:8">
      <c r="A775" s="2">
        <v>45809</v>
      </c>
      <c r="B775" t="s">
        <v>198</v>
      </c>
      <c r="C775">
        <v>0</v>
      </c>
      <c r="D775">
        <v>100</v>
      </c>
      <c r="E775">
        <v>625</v>
      </c>
      <c r="F775">
        <v>638</v>
      </c>
      <c r="G775">
        <v>40</v>
      </c>
      <c r="H775" t="str">
        <f>IF(C775&lt;=_xlfn.XLOOKUP(B775,Products!A:A,Products!I:I),"REORDER REVIEW","Stock OK")</f>
        <v>REORDER REVIEW</v>
      </c>
    </row>
    <row r="776" spans="1:8">
      <c r="A776" s="2">
        <v>45839</v>
      </c>
      <c r="B776" t="s">
        <v>198</v>
      </c>
      <c r="C776">
        <v>0</v>
      </c>
      <c r="D776">
        <v>200</v>
      </c>
      <c r="E776">
        <v>835</v>
      </c>
      <c r="F776">
        <v>638</v>
      </c>
      <c r="G776">
        <v>40</v>
      </c>
      <c r="H776" t="str">
        <f>IF(C776&lt;=_xlfn.XLOOKUP(B776,Products!A:A,Products!I:I),"REORDER REVIEW","Stock OK")</f>
        <v>REORDER REVIEW</v>
      </c>
    </row>
    <row r="777" spans="1:8">
      <c r="A777" s="2">
        <v>45870</v>
      </c>
      <c r="B777" t="s">
        <v>198</v>
      </c>
      <c r="C777">
        <v>0</v>
      </c>
      <c r="D777">
        <v>200</v>
      </c>
      <c r="E777">
        <v>513</v>
      </c>
      <c r="F777">
        <v>638</v>
      </c>
      <c r="G777">
        <v>40</v>
      </c>
      <c r="H777" t="str">
        <f>IF(C777&lt;=_xlfn.XLOOKUP(B777,Products!A:A,Products!I:I),"REORDER REVIEW","Stock OK")</f>
        <v>REORDER REVIEW</v>
      </c>
    </row>
    <row r="778" spans="1:8">
      <c r="A778" s="2">
        <v>45901</v>
      </c>
      <c r="B778" t="s">
        <v>198</v>
      </c>
      <c r="C778">
        <v>0</v>
      </c>
      <c r="D778">
        <v>50</v>
      </c>
      <c r="E778">
        <v>815</v>
      </c>
      <c r="F778">
        <v>638</v>
      </c>
      <c r="G778">
        <v>40</v>
      </c>
      <c r="H778" t="str">
        <f>IF(C778&lt;=_xlfn.XLOOKUP(B778,Products!A:A,Products!I:I),"REORDER REVIEW","Stock OK")</f>
        <v>REORDER REVIEW</v>
      </c>
    </row>
    <row r="779" spans="1:8">
      <c r="A779" s="2">
        <v>45931</v>
      </c>
      <c r="B779" t="s">
        <v>198</v>
      </c>
      <c r="C779">
        <v>0</v>
      </c>
      <c r="D779">
        <v>50</v>
      </c>
      <c r="E779">
        <v>875</v>
      </c>
      <c r="F779">
        <v>638</v>
      </c>
      <c r="G779">
        <v>40</v>
      </c>
      <c r="H779" t="str">
        <f>IF(C779&lt;=_xlfn.XLOOKUP(B779,Products!A:A,Products!I:I),"REORDER REVIEW","Stock OK")</f>
        <v>REORDER REVIEW</v>
      </c>
    </row>
    <row r="780" spans="1:8">
      <c r="A780" s="2">
        <v>45962</v>
      </c>
      <c r="B780" t="s">
        <v>198</v>
      </c>
      <c r="C780">
        <v>0</v>
      </c>
      <c r="D780">
        <v>100</v>
      </c>
      <c r="E780">
        <v>610</v>
      </c>
      <c r="F780">
        <v>638</v>
      </c>
      <c r="G780">
        <v>40</v>
      </c>
      <c r="H780" t="str">
        <f>IF(C780&lt;=_xlfn.XLOOKUP(B780,Products!A:A,Products!I:I),"REORDER REVIEW","Stock OK")</f>
        <v>REORDER REVIEW</v>
      </c>
    </row>
    <row r="781" spans="1:8">
      <c r="A781" s="2">
        <v>45992</v>
      </c>
      <c r="B781" t="s">
        <v>198</v>
      </c>
      <c r="C781">
        <v>0</v>
      </c>
      <c r="D781">
        <v>50</v>
      </c>
      <c r="E781">
        <v>1003</v>
      </c>
      <c r="F781">
        <v>638</v>
      </c>
      <c r="G781">
        <v>40</v>
      </c>
      <c r="H781" t="str">
        <f>IF(C781&lt;=_xlfn.XLOOKUP(B781,Products!A:A,Products!I:I),"REORDER REVIEW","Stock OK")</f>
        <v>REORDER REVIEW</v>
      </c>
    </row>
    <row r="782" spans="1:8">
      <c r="A782" s="2">
        <v>45658</v>
      </c>
      <c r="B782" t="s">
        <v>200</v>
      </c>
      <c r="C782">
        <v>21</v>
      </c>
      <c r="D782">
        <v>200</v>
      </c>
      <c r="E782">
        <v>376</v>
      </c>
      <c r="F782">
        <v>356</v>
      </c>
      <c r="G782">
        <v>149</v>
      </c>
      <c r="H782" t="str">
        <f>IF(C782&lt;=_xlfn.XLOOKUP(B782,Products!A:A,Products!I:I),"REORDER REVIEW","Stock OK")</f>
        <v>REORDER REVIEW</v>
      </c>
    </row>
    <row r="783" spans="1:8">
      <c r="A783" s="2">
        <v>45689</v>
      </c>
      <c r="B783" t="s">
        <v>200</v>
      </c>
      <c r="C783">
        <v>0</v>
      </c>
      <c r="D783">
        <v>50</v>
      </c>
      <c r="E783">
        <v>670</v>
      </c>
      <c r="F783">
        <v>356</v>
      </c>
      <c r="G783">
        <v>149</v>
      </c>
      <c r="H783" t="str">
        <f>IF(C783&lt;=_xlfn.XLOOKUP(B783,Products!A:A,Products!I:I),"REORDER REVIEW","Stock OK")</f>
        <v>REORDER REVIEW</v>
      </c>
    </row>
    <row r="784" spans="1:8">
      <c r="A784" s="2">
        <v>45717</v>
      </c>
      <c r="B784" t="s">
        <v>200</v>
      </c>
      <c r="C784">
        <v>0</v>
      </c>
      <c r="D784">
        <v>50</v>
      </c>
      <c r="E784">
        <v>468</v>
      </c>
      <c r="F784">
        <v>356</v>
      </c>
      <c r="G784">
        <v>149</v>
      </c>
      <c r="H784" t="str">
        <f>IF(C784&lt;=_xlfn.XLOOKUP(B784,Products!A:A,Products!I:I),"REORDER REVIEW","Stock OK")</f>
        <v>REORDER REVIEW</v>
      </c>
    </row>
    <row r="785" spans="1:8">
      <c r="A785" s="2">
        <v>45748</v>
      </c>
      <c r="B785" t="s">
        <v>200</v>
      </c>
      <c r="C785">
        <v>0</v>
      </c>
      <c r="D785">
        <v>50</v>
      </c>
      <c r="E785">
        <v>1065</v>
      </c>
      <c r="F785">
        <v>356</v>
      </c>
      <c r="G785">
        <v>149</v>
      </c>
      <c r="H785" t="str">
        <f>IF(C785&lt;=_xlfn.XLOOKUP(B785,Products!A:A,Products!I:I),"REORDER REVIEW","Stock OK")</f>
        <v>REORDER REVIEW</v>
      </c>
    </row>
    <row r="786" spans="1:8">
      <c r="A786" s="2">
        <v>45778</v>
      </c>
      <c r="B786" t="s">
        <v>200</v>
      </c>
      <c r="C786">
        <v>0</v>
      </c>
      <c r="D786">
        <v>200</v>
      </c>
      <c r="E786">
        <v>720</v>
      </c>
      <c r="F786">
        <v>356</v>
      </c>
      <c r="G786">
        <v>149</v>
      </c>
      <c r="H786" t="str">
        <f>IF(C786&lt;=_xlfn.XLOOKUP(B786,Products!A:A,Products!I:I),"REORDER REVIEW","Stock OK")</f>
        <v>REORDER REVIEW</v>
      </c>
    </row>
    <row r="787" spans="1:8">
      <c r="A787" s="2">
        <v>45809</v>
      </c>
      <c r="B787" t="s">
        <v>200</v>
      </c>
      <c r="C787">
        <v>0</v>
      </c>
      <c r="D787">
        <v>100</v>
      </c>
      <c r="E787">
        <v>808</v>
      </c>
      <c r="F787">
        <v>356</v>
      </c>
      <c r="G787">
        <v>149</v>
      </c>
      <c r="H787" t="str">
        <f>IF(C787&lt;=_xlfn.XLOOKUP(B787,Products!A:A,Products!I:I),"REORDER REVIEW","Stock OK")</f>
        <v>REORDER REVIEW</v>
      </c>
    </row>
    <row r="788" spans="1:8">
      <c r="A788" s="2">
        <v>45839</v>
      </c>
      <c r="B788" t="s">
        <v>200</v>
      </c>
      <c r="C788">
        <v>0</v>
      </c>
      <c r="D788">
        <v>0</v>
      </c>
      <c r="E788">
        <v>522</v>
      </c>
      <c r="F788">
        <v>356</v>
      </c>
      <c r="G788">
        <v>149</v>
      </c>
      <c r="H788" t="str">
        <f>IF(C788&lt;=_xlfn.XLOOKUP(B788,Products!A:A,Products!I:I),"REORDER REVIEW","Stock OK")</f>
        <v>REORDER REVIEW</v>
      </c>
    </row>
    <row r="789" spans="1:8">
      <c r="A789" s="2">
        <v>45870</v>
      </c>
      <c r="B789" t="s">
        <v>200</v>
      </c>
      <c r="C789">
        <v>0</v>
      </c>
      <c r="D789">
        <v>50</v>
      </c>
      <c r="E789">
        <v>693</v>
      </c>
      <c r="F789">
        <v>356</v>
      </c>
      <c r="G789">
        <v>149</v>
      </c>
      <c r="H789" t="str">
        <f>IF(C789&lt;=_xlfn.XLOOKUP(B789,Products!A:A,Products!I:I),"REORDER REVIEW","Stock OK")</f>
        <v>REORDER REVIEW</v>
      </c>
    </row>
    <row r="790" spans="1:8">
      <c r="A790" s="2">
        <v>45901</v>
      </c>
      <c r="B790" t="s">
        <v>200</v>
      </c>
      <c r="C790">
        <v>0</v>
      </c>
      <c r="D790">
        <v>200</v>
      </c>
      <c r="E790">
        <v>832</v>
      </c>
      <c r="F790">
        <v>356</v>
      </c>
      <c r="G790">
        <v>149</v>
      </c>
      <c r="H790" t="str">
        <f>IF(C790&lt;=_xlfn.XLOOKUP(B790,Products!A:A,Products!I:I),"REORDER REVIEW","Stock OK")</f>
        <v>REORDER REVIEW</v>
      </c>
    </row>
    <row r="791" spans="1:8">
      <c r="A791" s="2">
        <v>45931</v>
      </c>
      <c r="B791" t="s">
        <v>200</v>
      </c>
      <c r="C791">
        <v>0</v>
      </c>
      <c r="D791">
        <v>0</v>
      </c>
      <c r="E791">
        <v>905</v>
      </c>
      <c r="F791">
        <v>356</v>
      </c>
      <c r="G791">
        <v>149</v>
      </c>
      <c r="H791" t="str">
        <f>IF(C791&lt;=_xlfn.XLOOKUP(B791,Products!A:A,Products!I:I),"REORDER REVIEW","Stock OK")</f>
        <v>REORDER REVIEW</v>
      </c>
    </row>
    <row r="792" spans="1:8">
      <c r="A792" s="2">
        <v>45962</v>
      </c>
      <c r="B792" t="s">
        <v>200</v>
      </c>
      <c r="C792">
        <v>0</v>
      </c>
      <c r="D792">
        <v>100</v>
      </c>
      <c r="E792">
        <v>531</v>
      </c>
      <c r="F792">
        <v>356</v>
      </c>
      <c r="G792">
        <v>149</v>
      </c>
      <c r="H792" t="str">
        <f>IF(C792&lt;=_xlfn.XLOOKUP(B792,Products!A:A,Products!I:I),"REORDER REVIEW","Stock OK")</f>
        <v>REORDER REVIEW</v>
      </c>
    </row>
    <row r="793" spans="1:8">
      <c r="A793" s="2">
        <v>45992</v>
      </c>
      <c r="B793" t="s">
        <v>200</v>
      </c>
      <c r="C793">
        <v>0</v>
      </c>
      <c r="D793">
        <v>200</v>
      </c>
      <c r="E793">
        <v>886</v>
      </c>
      <c r="F793">
        <v>356</v>
      </c>
      <c r="G793">
        <v>149</v>
      </c>
      <c r="H793" t="str">
        <f>IF(C793&lt;=_xlfn.XLOOKUP(B793,Products!A:A,Products!I:I),"REORDER REVIEW","Stock OK")</f>
        <v>REORDER REVIEW</v>
      </c>
    </row>
    <row r="794" spans="1:8">
      <c r="A794" s="2">
        <v>45658</v>
      </c>
      <c r="B794" t="s">
        <v>202</v>
      </c>
      <c r="C794">
        <v>0</v>
      </c>
      <c r="D794">
        <v>200</v>
      </c>
      <c r="E794">
        <v>151</v>
      </c>
      <c r="F794">
        <v>299</v>
      </c>
      <c r="G794">
        <v>129</v>
      </c>
      <c r="H794" t="str">
        <f>IF(C794&lt;=_xlfn.XLOOKUP(B794,Products!A:A,Products!I:I),"REORDER REVIEW","Stock OK")</f>
        <v>REORDER REVIEW</v>
      </c>
    </row>
    <row r="795" spans="1:8">
      <c r="A795" s="2">
        <v>45689</v>
      </c>
      <c r="B795" t="s">
        <v>202</v>
      </c>
      <c r="C795">
        <v>0</v>
      </c>
      <c r="D795">
        <v>0</v>
      </c>
      <c r="E795">
        <v>255</v>
      </c>
      <c r="F795">
        <v>299</v>
      </c>
      <c r="G795">
        <v>129</v>
      </c>
      <c r="H795" t="str">
        <f>IF(C795&lt;=_xlfn.XLOOKUP(B795,Products!A:A,Products!I:I),"REORDER REVIEW","Stock OK")</f>
        <v>REORDER REVIEW</v>
      </c>
    </row>
    <row r="796" spans="1:8">
      <c r="A796" s="2">
        <v>45717</v>
      </c>
      <c r="B796" t="s">
        <v>202</v>
      </c>
      <c r="C796">
        <v>67</v>
      </c>
      <c r="D796">
        <v>0</v>
      </c>
      <c r="E796">
        <v>233</v>
      </c>
      <c r="F796">
        <v>299</v>
      </c>
      <c r="G796">
        <v>129</v>
      </c>
      <c r="H796" t="str">
        <f>IF(C796&lt;=_xlfn.XLOOKUP(B796,Products!A:A,Products!I:I),"REORDER REVIEW","Stock OK")</f>
        <v>REORDER REVIEW</v>
      </c>
    </row>
    <row r="797" spans="1:8">
      <c r="A797" s="2">
        <v>45748</v>
      </c>
      <c r="B797" t="s">
        <v>202</v>
      </c>
      <c r="C797">
        <v>128</v>
      </c>
      <c r="D797">
        <v>200</v>
      </c>
      <c r="E797">
        <v>239</v>
      </c>
      <c r="F797">
        <v>299</v>
      </c>
      <c r="G797">
        <v>129</v>
      </c>
      <c r="H797" t="str">
        <f>IF(C797&lt;=_xlfn.XLOOKUP(B797,Products!A:A,Products!I:I),"REORDER REVIEW","Stock OK")</f>
        <v>REORDER REVIEW</v>
      </c>
    </row>
    <row r="798" spans="1:8">
      <c r="A798" s="2">
        <v>45778</v>
      </c>
      <c r="B798" t="s">
        <v>202</v>
      </c>
      <c r="C798">
        <v>361</v>
      </c>
      <c r="D798">
        <v>50</v>
      </c>
      <c r="E798">
        <v>67</v>
      </c>
      <c r="F798">
        <v>299</v>
      </c>
      <c r="G798">
        <v>129</v>
      </c>
      <c r="H798" t="str">
        <f>IF(C798&lt;=_xlfn.XLOOKUP(B798,Products!A:A,Products!I:I),"REORDER REVIEW","Stock OK")</f>
        <v>Stock OK</v>
      </c>
    </row>
    <row r="799" spans="1:8">
      <c r="A799" s="2">
        <v>45809</v>
      </c>
      <c r="B799" t="s">
        <v>202</v>
      </c>
      <c r="C799">
        <v>379</v>
      </c>
      <c r="D799">
        <v>0</v>
      </c>
      <c r="E799">
        <v>182</v>
      </c>
      <c r="F799">
        <v>299</v>
      </c>
      <c r="G799">
        <v>129</v>
      </c>
      <c r="H799" t="str">
        <f>IF(C799&lt;=_xlfn.XLOOKUP(B799,Products!A:A,Products!I:I),"REORDER REVIEW","Stock OK")</f>
        <v>Stock OK</v>
      </c>
    </row>
    <row r="800" spans="1:8">
      <c r="A800" s="2">
        <v>45839</v>
      </c>
      <c r="B800" t="s">
        <v>202</v>
      </c>
      <c r="C800">
        <v>206</v>
      </c>
      <c r="D800">
        <v>0</v>
      </c>
      <c r="E800">
        <v>173</v>
      </c>
      <c r="F800">
        <v>299</v>
      </c>
      <c r="G800">
        <v>129</v>
      </c>
      <c r="H800" t="str">
        <f>IF(C800&lt;=_xlfn.XLOOKUP(B800,Products!A:A,Products!I:I),"REORDER REVIEW","Stock OK")</f>
        <v>REORDER REVIEW</v>
      </c>
    </row>
    <row r="801" spans="1:8">
      <c r="A801" s="2">
        <v>45870</v>
      </c>
      <c r="B801" t="s">
        <v>202</v>
      </c>
      <c r="C801">
        <v>0</v>
      </c>
      <c r="D801">
        <v>100</v>
      </c>
      <c r="E801">
        <v>382</v>
      </c>
      <c r="F801">
        <v>299</v>
      </c>
      <c r="G801">
        <v>129</v>
      </c>
      <c r="H801" t="str">
        <f>IF(C801&lt;=_xlfn.XLOOKUP(B801,Products!A:A,Products!I:I),"REORDER REVIEW","Stock OK")</f>
        <v>REORDER REVIEW</v>
      </c>
    </row>
    <row r="802" spans="1:8">
      <c r="A802" s="2">
        <v>45901</v>
      </c>
      <c r="B802" t="s">
        <v>202</v>
      </c>
      <c r="C802">
        <v>203</v>
      </c>
      <c r="D802">
        <v>0</v>
      </c>
      <c r="E802">
        <v>97</v>
      </c>
      <c r="F802">
        <v>299</v>
      </c>
      <c r="G802">
        <v>129</v>
      </c>
      <c r="H802" t="str">
        <f>IF(C802&lt;=_xlfn.XLOOKUP(B802,Products!A:A,Products!I:I),"REORDER REVIEW","Stock OK")</f>
        <v>REORDER REVIEW</v>
      </c>
    </row>
    <row r="803" spans="1:8">
      <c r="A803" s="2">
        <v>45931</v>
      </c>
      <c r="B803" t="s">
        <v>202</v>
      </c>
      <c r="C803">
        <v>0</v>
      </c>
      <c r="D803">
        <v>200</v>
      </c>
      <c r="E803">
        <v>258</v>
      </c>
      <c r="F803">
        <v>299</v>
      </c>
      <c r="G803">
        <v>129</v>
      </c>
      <c r="H803" t="str">
        <f>IF(C803&lt;=_xlfn.XLOOKUP(B803,Products!A:A,Products!I:I),"REORDER REVIEW","Stock OK")</f>
        <v>REORDER REVIEW</v>
      </c>
    </row>
    <row r="804" spans="1:8">
      <c r="A804" s="2">
        <v>45962</v>
      </c>
      <c r="B804" t="s">
        <v>202</v>
      </c>
      <c r="C804">
        <v>0</v>
      </c>
      <c r="D804">
        <v>200</v>
      </c>
      <c r="E804">
        <v>329</v>
      </c>
      <c r="F804">
        <v>299</v>
      </c>
      <c r="G804">
        <v>129</v>
      </c>
      <c r="H804" t="str">
        <f>IF(C804&lt;=_xlfn.XLOOKUP(B804,Products!A:A,Products!I:I),"REORDER REVIEW","Stock OK")</f>
        <v>REORDER REVIEW</v>
      </c>
    </row>
    <row r="805" spans="1:8">
      <c r="A805" s="2">
        <v>45992</v>
      </c>
      <c r="B805" t="s">
        <v>202</v>
      </c>
      <c r="C805">
        <v>0</v>
      </c>
      <c r="D805">
        <v>0</v>
      </c>
      <c r="E805">
        <v>103</v>
      </c>
      <c r="F805">
        <v>299</v>
      </c>
      <c r="G805">
        <v>129</v>
      </c>
      <c r="H805" t="str">
        <f>IF(C805&lt;=_xlfn.XLOOKUP(B805,Products!A:A,Products!I:I),"REORDER REVIEW","Stock OK")</f>
        <v>REORDER REVIEW</v>
      </c>
    </row>
    <row r="806" spans="1:8">
      <c r="A806" s="2">
        <v>45658</v>
      </c>
      <c r="B806" t="s">
        <v>204</v>
      </c>
      <c r="C806">
        <v>0</v>
      </c>
      <c r="D806">
        <v>0</v>
      </c>
      <c r="E806">
        <v>656</v>
      </c>
      <c r="F806">
        <v>417</v>
      </c>
      <c r="G806">
        <v>167</v>
      </c>
      <c r="H806" t="str">
        <f>IF(C806&lt;=_xlfn.XLOOKUP(B806,Products!A:A,Products!I:I),"REORDER REVIEW","Stock OK")</f>
        <v>REORDER REVIEW</v>
      </c>
    </row>
    <row r="807" spans="1:8">
      <c r="A807" s="2">
        <v>45689</v>
      </c>
      <c r="B807" t="s">
        <v>204</v>
      </c>
      <c r="C807">
        <v>0</v>
      </c>
      <c r="D807">
        <v>50</v>
      </c>
      <c r="E807">
        <v>1013</v>
      </c>
      <c r="F807">
        <v>417</v>
      </c>
      <c r="G807">
        <v>167</v>
      </c>
      <c r="H807" t="str">
        <f>IF(C807&lt;=_xlfn.XLOOKUP(B807,Products!A:A,Products!I:I),"REORDER REVIEW","Stock OK")</f>
        <v>REORDER REVIEW</v>
      </c>
    </row>
    <row r="808" spans="1:8">
      <c r="A808" s="2">
        <v>45717</v>
      </c>
      <c r="B808" t="s">
        <v>204</v>
      </c>
      <c r="C808">
        <v>0</v>
      </c>
      <c r="D808">
        <v>0</v>
      </c>
      <c r="E808">
        <v>567</v>
      </c>
      <c r="F808">
        <v>417</v>
      </c>
      <c r="G808">
        <v>167</v>
      </c>
      <c r="H808" t="str">
        <f>IF(C808&lt;=_xlfn.XLOOKUP(B808,Products!A:A,Products!I:I),"REORDER REVIEW","Stock OK")</f>
        <v>REORDER REVIEW</v>
      </c>
    </row>
    <row r="809" spans="1:8">
      <c r="A809" s="2">
        <v>45748</v>
      </c>
      <c r="B809" t="s">
        <v>204</v>
      </c>
      <c r="C809">
        <v>0</v>
      </c>
      <c r="D809">
        <v>100</v>
      </c>
      <c r="E809">
        <v>496</v>
      </c>
      <c r="F809">
        <v>417</v>
      </c>
      <c r="G809">
        <v>167</v>
      </c>
      <c r="H809" t="str">
        <f>IF(C809&lt;=_xlfn.XLOOKUP(B809,Products!A:A,Products!I:I),"REORDER REVIEW","Stock OK")</f>
        <v>REORDER REVIEW</v>
      </c>
    </row>
    <row r="810" spans="1:8">
      <c r="A810" s="2">
        <v>45778</v>
      </c>
      <c r="B810" t="s">
        <v>204</v>
      </c>
      <c r="C810">
        <v>0</v>
      </c>
      <c r="D810">
        <v>50</v>
      </c>
      <c r="E810">
        <v>188</v>
      </c>
      <c r="F810">
        <v>417</v>
      </c>
      <c r="G810">
        <v>167</v>
      </c>
      <c r="H810" t="str">
        <f>IF(C810&lt;=_xlfn.XLOOKUP(B810,Products!A:A,Products!I:I),"REORDER REVIEW","Stock OK")</f>
        <v>REORDER REVIEW</v>
      </c>
    </row>
    <row r="811" spans="1:8">
      <c r="A811" s="2">
        <v>45809</v>
      </c>
      <c r="B811" t="s">
        <v>204</v>
      </c>
      <c r="C811">
        <v>0</v>
      </c>
      <c r="D811">
        <v>100</v>
      </c>
      <c r="E811">
        <v>572</v>
      </c>
      <c r="F811">
        <v>417</v>
      </c>
      <c r="G811">
        <v>167</v>
      </c>
      <c r="H811" t="str">
        <f>IF(C811&lt;=_xlfn.XLOOKUP(B811,Products!A:A,Products!I:I),"REORDER REVIEW","Stock OK")</f>
        <v>REORDER REVIEW</v>
      </c>
    </row>
    <row r="812" spans="1:8">
      <c r="A812" s="2">
        <v>45839</v>
      </c>
      <c r="B812" t="s">
        <v>204</v>
      </c>
      <c r="C812">
        <v>0</v>
      </c>
      <c r="D812">
        <v>0</v>
      </c>
      <c r="E812">
        <v>668</v>
      </c>
      <c r="F812">
        <v>417</v>
      </c>
      <c r="G812">
        <v>167</v>
      </c>
      <c r="H812" t="str">
        <f>IF(C812&lt;=_xlfn.XLOOKUP(B812,Products!A:A,Products!I:I),"REORDER REVIEW","Stock OK")</f>
        <v>REORDER REVIEW</v>
      </c>
    </row>
    <row r="813" spans="1:8">
      <c r="A813" s="2">
        <v>45870</v>
      </c>
      <c r="B813" t="s">
        <v>204</v>
      </c>
      <c r="C813">
        <v>0</v>
      </c>
      <c r="D813">
        <v>0</v>
      </c>
      <c r="E813">
        <v>409</v>
      </c>
      <c r="F813">
        <v>417</v>
      </c>
      <c r="G813">
        <v>167</v>
      </c>
      <c r="H813" t="str">
        <f>IF(C813&lt;=_xlfn.XLOOKUP(B813,Products!A:A,Products!I:I),"REORDER REVIEW","Stock OK")</f>
        <v>REORDER REVIEW</v>
      </c>
    </row>
    <row r="814" spans="1:8">
      <c r="A814" s="2">
        <v>45901</v>
      </c>
      <c r="B814" t="s">
        <v>204</v>
      </c>
      <c r="C814">
        <v>0</v>
      </c>
      <c r="D814">
        <v>200</v>
      </c>
      <c r="E814">
        <v>671</v>
      </c>
      <c r="F814">
        <v>417</v>
      </c>
      <c r="G814">
        <v>167</v>
      </c>
      <c r="H814" t="str">
        <f>IF(C814&lt;=_xlfn.XLOOKUP(B814,Products!A:A,Products!I:I),"REORDER REVIEW","Stock OK")</f>
        <v>REORDER REVIEW</v>
      </c>
    </row>
    <row r="815" spans="1:8">
      <c r="A815" s="2">
        <v>45931</v>
      </c>
      <c r="B815" t="s">
        <v>204</v>
      </c>
      <c r="C815">
        <v>0</v>
      </c>
      <c r="D815">
        <v>200</v>
      </c>
      <c r="E815">
        <v>310</v>
      </c>
      <c r="F815">
        <v>417</v>
      </c>
      <c r="G815">
        <v>167</v>
      </c>
      <c r="H815" t="str">
        <f>IF(C815&lt;=_xlfn.XLOOKUP(B815,Products!A:A,Products!I:I),"REORDER REVIEW","Stock OK")</f>
        <v>REORDER REVIEW</v>
      </c>
    </row>
    <row r="816" spans="1:8">
      <c r="A816" s="2">
        <v>45962</v>
      </c>
      <c r="B816" t="s">
        <v>204</v>
      </c>
      <c r="C816">
        <v>0</v>
      </c>
      <c r="D816">
        <v>0</v>
      </c>
      <c r="E816">
        <v>699</v>
      </c>
      <c r="F816">
        <v>417</v>
      </c>
      <c r="G816">
        <v>167</v>
      </c>
      <c r="H816" t="str">
        <f>IF(C816&lt;=_xlfn.XLOOKUP(B816,Products!A:A,Products!I:I),"REORDER REVIEW","Stock OK")</f>
        <v>REORDER REVIEW</v>
      </c>
    </row>
    <row r="817" spans="1:8">
      <c r="A817" s="2">
        <v>45992</v>
      </c>
      <c r="B817" t="s">
        <v>204</v>
      </c>
      <c r="C817">
        <v>0</v>
      </c>
      <c r="D817">
        <v>50</v>
      </c>
      <c r="E817">
        <v>635</v>
      </c>
      <c r="F817">
        <v>417</v>
      </c>
      <c r="G817">
        <v>167</v>
      </c>
      <c r="H817" t="str">
        <f>IF(C817&lt;=_xlfn.XLOOKUP(B817,Products!A:A,Products!I:I),"REORDER REVIEW","Stock OK")</f>
        <v>REORDER REVIEW</v>
      </c>
    </row>
    <row r="818" spans="1:8">
      <c r="A818" s="2">
        <v>45658</v>
      </c>
      <c r="B818" t="s">
        <v>206</v>
      </c>
      <c r="C818">
        <v>661</v>
      </c>
      <c r="D818">
        <v>0</v>
      </c>
      <c r="E818">
        <v>136</v>
      </c>
      <c r="F818">
        <v>119</v>
      </c>
      <c r="G818">
        <v>72</v>
      </c>
      <c r="H818" t="str">
        <f>IF(C818&lt;=_xlfn.XLOOKUP(B818,Products!A:A,Products!I:I),"REORDER REVIEW","Stock OK")</f>
        <v>Stock OK</v>
      </c>
    </row>
    <row r="819" spans="1:8">
      <c r="A819" s="2">
        <v>45689</v>
      </c>
      <c r="B819" t="s">
        <v>206</v>
      </c>
      <c r="C819">
        <v>450</v>
      </c>
      <c r="D819">
        <v>0</v>
      </c>
      <c r="E819">
        <v>211</v>
      </c>
      <c r="F819">
        <v>119</v>
      </c>
      <c r="G819">
        <v>72</v>
      </c>
      <c r="H819" t="str">
        <f>IF(C819&lt;=_xlfn.XLOOKUP(B819,Products!A:A,Products!I:I),"REORDER REVIEW","Stock OK")</f>
        <v>Stock OK</v>
      </c>
    </row>
    <row r="820" spans="1:8">
      <c r="A820" s="2">
        <v>45717</v>
      </c>
      <c r="B820" t="s">
        <v>206</v>
      </c>
      <c r="C820">
        <v>395</v>
      </c>
      <c r="D820">
        <v>0</v>
      </c>
      <c r="E820">
        <v>155</v>
      </c>
      <c r="F820">
        <v>119</v>
      </c>
      <c r="G820">
        <v>72</v>
      </c>
      <c r="H820" t="str">
        <f>IF(C820&lt;=_xlfn.XLOOKUP(B820,Products!A:A,Products!I:I),"REORDER REVIEW","Stock OK")</f>
        <v>Stock OK</v>
      </c>
    </row>
    <row r="821" spans="1:8">
      <c r="A821" s="2">
        <v>45748</v>
      </c>
      <c r="B821" t="s">
        <v>206</v>
      </c>
      <c r="C821">
        <v>249</v>
      </c>
      <c r="D821">
        <v>200</v>
      </c>
      <c r="E821">
        <v>146</v>
      </c>
      <c r="F821">
        <v>119</v>
      </c>
      <c r="G821">
        <v>72</v>
      </c>
      <c r="H821" t="str">
        <f>IF(C821&lt;=_xlfn.XLOOKUP(B821,Products!A:A,Products!I:I),"REORDER REVIEW","Stock OK")</f>
        <v>Stock OK</v>
      </c>
    </row>
    <row r="822" spans="1:8">
      <c r="A822" s="2">
        <v>45778</v>
      </c>
      <c r="B822" t="s">
        <v>206</v>
      </c>
      <c r="C822">
        <v>146</v>
      </c>
      <c r="D822">
        <v>100</v>
      </c>
      <c r="E822">
        <v>103</v>
      </c>
      <c r="F822">
        <v>119</v>
      </c>
      <c r="G822">
        <v>72</v>
      </c>
      <c r="H822" t="str">
        <f>IF(C822&lt;=_xlfn.XLOOKUP(B822,Products!A:A,Products!I:I),"REORDER REVIEW","Stock OK")</f>
        <v>Stock OK</v>
      </c>
    </row>
    <row r="823" spans="1:8">
      <c r="A823" s="2">
        <v>45809</v>
      </c>
      <c r="B823" t="s">
        <v>206</v>
      </c>
      <c r="C823">
        <v>0</v>
      </c>
      <c r="D823">
        <v>50</v>
      </c>
      <c r="E823">
        <v>202</v>
      </c>
      <c r="F823">
        <v>119</v>
      </c>
      <c r="G823">
        <v>72</v>
      </c>
      <c r="H823" t="str">
        <f>IF(C823&lt;=_xlfn.XLOOKUP(B823,Products!A:A,Products!I:I),"REORDER REVIEW","Stock OK")</f>
        <v>REORDER REVIEW</v>
      </c>
    </row>
    <row r="824" spans="1:8">
      <c r="A824" s="2">
        <v>45839</v>
      </c>
      <c r="B824" t="s">
        <v>206</v>
      </c>
      <c r="C824">
        <v>0</v>
      </c>
      <c r="D824">
        <v>0</v>
      </c>
      <c r="E824">
        <v>150</v>
      </c>
      <c r="F824">
        <v>119</v>
      </c>
      <c r="G824">
        <v>72</v>
      </c>
      <c r="H824" t="str">
        <f>IF(C824&lt;=_xlfn.XLOOKUP(B824,Products!A:A,Products!I:I),"REORDER REVIEW","Stock OK")</f>
        <v>REORDER REVIEW</v>
      </c>
    </row>
    <row r="825" spans="1:8">
      <c r="A825" s="2">
        <v>45870</v>
      </c>
      <c r="B825" t="s">
        <v>206</v>
      </c>
      <c r="C825">
        <v>4</v>
      </c>
      <c r="D825">
        <v>50</v>
      </c>
      <c r="E825">
        <v>96</v>
      </c>
      <c r="F825">
        <v>119</v>
      </c>
      <c r="G825">
        <v>72</v>
      </c>
      <c r="H825" t="str">
        <f>IF(C825&lt;=_xlfn.XLOOKUP(B825,Products!A:A,Products!I:I),"REORDER REVIEW","Stock OK")</f>
        <v>REORDER REVIEW</v>
      </c>
    </row>
    <row r="826" spans="1:8">
      <c r="A826" s="2">
        <v>45901</v>
      </c>
      <c r="B826" t="s">
        <v>206</v>
      </c>
      <c r="C826">
        <v>0</v>
      </c>
      <c r="D826">
        <v>100</v>
      </c>
      <c r="E826">
        <v>106</v>
      </c>
      <c r="F826">
        <v>119</v>
      </c>
      <c r="G826">
        <v>72</v>
      </c>
      <c r="H826" t="str">
        <f>IF(C826&lt;=_xlfn.XLOOKUP(B826,Products!A:A,Products!I:I),"REORDER REVIEW","Stock OK")</f>
        <v>REORDER REVIEW</v>
      </c>
    </row>
    <row r="827" spans="1:8">
      <c r="A827" s="2">
        <v>45931</v>
      </c>
      <c r="B827" t="s">
        <v>206</v>
      </c>
      <c r="C827">
        <v>242</v>
      </c>
      <c r="D827">
        <v>200</v>
      </c>
      <c r="E827">
        <v>58</v>
      </c>
      <c r="F827">
        <v>119</v>
      </c>
      <c r="G827">
        <v>72</v>
      </c>
      <c r="H827" t="str">
        <f>IF(C827&lt;=_xlfn.XLOOKUP(B827,Products!A:A,Products!I:I),"REORDER REVIEW","Stock OK")</f>
        <v>Stock OK</v>
      </c>
    </row>
    <row r="828" spans="1:8">
      <c r="A828" s="2">
        <v>45962</v>
      </c>
      <c r="B828" t="s">
        <v>206</v>
      </c>
      <c r="C828">
        <v>85</v>
      </c>
      <c r="D828">
        <v>0</v>
      </c>
      <c r="E828">
        <v>157</v>
      </c>
      <c r="F828">
        <v>119</v>
      </c>
      <c r="G828">
        <v>72</v>
      </c>
      <c r="H828" t="str">
        <f>IF(C828&lt;=_xlfn.XLOOKUP(B828,Products!A:A,Products!I:I),"REORDER REVIEW","Stock OK")</f>
        <v>REORDER REVIEW</v>
      </c>
    </row>
    <row r="829" spans="1:8">
      <c r="A829" s="2">
        <v>45992</v>
      </c>
      <c r="B829" t="s">
        <v>206</v>
      </c>
      <c r="C829">
        <v>0</v>
      </c>
      <c r="D829">
        <v>0</v>
      </c>
      <c r="E829">
        <v>219</v>
      </c>
      <c r="F829">
        <v>119</v>
      </c>
      <c r="G829">
        <v>72</v>
      </c>
      <c r="H829" t="str">
        <f>IF(C829&lt;=_xlfn.XLOOKUP(B829,Products!A:A,Products!I:I),"REORDER REVIEW","Stock OK")</f>
        <v>REORDER REVIEW</v>
      </c>
    </row>
    <row r="830" spans="1:8">
      <c r="A830" s="2">
        <v>45658</v>
      </c>
      <c r="B830" t="s">
        <v>208</v>
      </c>
      <c r="C830">
        <v>269</v>
      </c>
      <c r="D830">
        <v>50</v>
      </c>
      <c r="E830">
        <v>324</v>
      </c>
      <c r="F830">
        <v>321</v>
      </c>
      <c r="G830">
        <v>115</v>
      </c>
      <c r="H830" t="str">
        <f>IF(C830&lt;=_xlfn.XLOOKUP(B830,Products!A:A,Products!I:I),"REORDER REVIEW","Stock OK")</f>
        <v>REORDER REVIEW</v>
      </c>
    </row>
    <row r="831" spans="1:8">
      <c r="A831" s="2">
        <v>45689</v>
      </c>
      <c r="B831" t="s">
        <v>208</v>
      </c>
      <c r="C831">
        <v>0</v>
      </c>
      <c r="D831">
        <v>0</v>
      </c>
      <c r="E831">
        <v>381</v>
      </c>
      <c r="F831">
        <v>321</v>
      </c>
      <c r="G831">
        <v>115</v>
      </c>
      <c r="H831" t="str">
        <f>IF(C831&lt;=_xlfn.XLOOKUP(B831,Products!A:A,Products!I:I),"REORDER REVIEW","Stock OK")</f>
        <v>REORDER REVIEW</v>
      </c>
    </row>
    <row r="832" spans="1:8">
      <c r="A832" s="2">
        <v>45717</v>
      </c>
      <c r="B832" t="s">
        <v>208</v>
      </c>
      <c r="C832">
        <v>0</v>
      </c>
      <c r="D832">
        <v>200</v>
      </c>
      <c r="E832">
        <v>513</v>
      </c>
      <c r="F832">
        <v>321</v>
      </c>
      <c r="G832">
        <v>115</v>
      </c>
      <c r="H832" t="str">
        <f>IF(C832&lt;=_xlfn.XLOOKUP(B832,Products!A:A,Products!I:I),"REORDER REVIEW","Stock OK")</f>
        <v>REORDER REVIEW</v>
      </c>
    </row>
    <row r="833" spans="1:8">
      <c r="A833" s="2">
        <v>45748</v>
      </c>
      <c r="B833" t="s">
        <v>208</v>
      </c>
      <c r="C833">
        <v>0</v>
      </c>
      <c r="D833">
        <v>50</v>
      </c>
      <c r="E833">
        <v>385</v>
      </c>
      <c r="F833">
        <v>321</v>
      </c>
      <c r="G833">
        <v>115</v>
      </c>
      <c r="H833" t="str">
        <f>IF(C833&lt;=_xlfn.XLOOKUP(B833,Products!A:A,Products!I:I),"REORDER REVIEW","Stock OK")</f>
        <v>REORDER REVIEW</v>
      </c>
    </row>
    <row r="834" spans="1:8">
      <c r="A834" s="2">
        <v>45778</v>
      </c>
      <c r="B834" t="s">
        <v>208</v>
      </c>
      <c r="C834">
        <v>0</v>
      </c>
      <c r="D834">
        <v>50</v>
      </c>
      <c r="E834">
        <v>677</v>
      </c>
      <c r="F834">
        <v>321</v>
      </c>
      <c r="G834">
        <v>115</v>
      </c>
      <c r="H834" t="str">
        <f>IF(C834&lt;=_xlfn.XLOOKUP(B834,Products!A:A,Products!I:I),"REORDER REVIEW","Stock OK")</f>
        <v>REORDER REVIEW</v>
      </c>
    </row>
    <row r="835" spans="1:8">
      <c r="A835" s="2">
        <v>45809</v>
      </c>
      <c r="B835" t="s">
        <v>208</v>
      </c>
      <c r="C835">
        <v>0</v>
      </c>
      <c r="D835">
        <v>0</v>
      </c>
      <c r="E835">
        <v>425</v>
      </c>
      <c r="F835">
        <v>321</v>
      </c>
      <c r="G835">
        <v>115</v>
      </c>
      <c r="H835" t="str">
        <f>IF(C835&lt;=_xlfn.XLOOKUP(B835,Products!A:A,Products!I:I),"REORDER REVIEW","Stock OK")</f>
        <v>REORDER REVIEW</v>
      </c>
    </row>
    <row r="836" spans="1:8">
      <c r="A836" s="2">
        <v>45839</v>
      </c>
      <c r="B836" t="s">
        <v>208</v>
      </c>
      <c r="C836">
        <v>0</v>
      </c>
      <c r="D836">
        <v>50</v>
      </c>
      <c r="E836">
        <v>659</v>
      </c>
      <c r="F836">
        <v>321</v>
      </c>
      <c r="G836">
        <v>115</v>
      </c>
      <c r="H836" t="str">
        <f>IF(C836&lt;=_xlfn.XLOOKUP(B836,Products!A:A,Products!I:I),"REORDER REVIEW","Stock OK")</f>
        <v>REORDER REVIEW</v>
      </c>
    </row>
    <row r="837" spans="1:8">
      <c r="A837" s="2">
        <v>45870</v>
      </c>
      <c r="B837" t="s">
        <v>208</v>
      </c>
      <c r="C837">
        <v>0</v>
      </c>
      <c r="D837">
        <v>0</v>
      </c>
      <c r="E837">
        <v>457</v>
      </c>
      <c r="F837">
        <v>321</v>
      </c>
      <c r="G837">
        <v>115</v>
      </c>
      <c r="H837" t="str">
        <f>IF(C837&lt;=_xlfn.XLOOKUP(B837,Products!A:A,Products!I:I),"REORDER REVIEW","Stock OK")</f>
        <v>REORDER REVIEW</v>
      </c>
    </row>
    <row r="838" spans="1:8">
      <c r="A838" s="2">
        <v>45901</v>
      </c>
      <c r="B838" t="s">
        <v>208</v>
      </c>
      <c r="C838">
        <v>0</v>
      </c>
      <c r="D838">
        <v>200</v>
      </c>
      <c r="E838">
        <v>459</v>
      </c>
      <c r="F838">
        <v>321</v>
      </c>
      <c r="G838">
        <v>115</v>
      </c>
      <c r="H838" t="str">
        <f>IF(C838&lt;=_xlfn.XLOOKUP(B838,Products!A:A,Products!I:I),"REORDER REVIEW","Stock OK")</f>
        <v>REORDER REVIEW</v>
      </c>
    </row>
    <row r="839" spans="1:8">
      <c r="A839" s="2">
        <v>45931</v>
      </c>
      <c r="B839" t="s">
        <v>208</v>
      </c>
      <c r="C839">
        <v>0</v>
      </c>
      <c r="D839">
        <v>50</v>
      </c>
      <c r="E839">
        <v>782</v>
      </c>
      <c r="F839">
        <v>321</v>
      </c>
      <c r="G839">
        <v>115</v>
      </c>
      <c r="H839" t="str">
        <f>IF(C839&lt;=_xlfn.XLOOKUP(B839,Products!A:A,Products!I:I),"REORDER REVIEW","Stock OK")</f>
        <v>REORDER REVIEW</v>
      </c>
    </row>
    <row r="840" spans="1:8">
      <c r="A840" s="2">
        <v>45962</v>
      </c>
      <c r="B840" t="s">
        <v>208</v>
      </c>
      <c r="C840">
        <v>0</v>
      </c>
      <c r="D840">
        <v>200</v>
      </c>
      <c r="E840">
        <v>322</v>
      </c>
      <c r="F840">
        <v>321</v>
      </c>
      <c r="G840">
        <v>115</v>
      </c>
      <c r="H840" t="str">
        <f>IF(C840&lt;=_xlfn.XLOOKUP(B840,Products!A:A,Products!I:I),"REORDER REVIEW","Stock OK")</f>
        <v>REORDER REVIEW</v>
      </c>
    </row>
    <row r="841" spans="1:8">
      <c r="A841" s="2">
        <v>45992</v>
      </c>
      <c r="B841" t="s">
        <v>208</v>
      </c>
      <c r="C841">
        <v>0</v>
      </c>
      <c r="D841">
        <v>0</v>
      </c>
      <c r="E841">
        <v>530</v>
      </c>
      <c r="F841">
        <v>321</v>
      </c>
      <c r="G841">
        <v>115</v>
      </c>
      <c r="H841" t="str">
        <f>IF(C841&lt;=_xlfn.XLOOKUP(B841,Products!A:A,Products!I:I),"REORDER REVIEW","Stock OK")</f>
        <v>REORDER REVIEW</v>
      </c>
    </row>
    <row r="842" spans="1:8">
      <c r="A842" s="2">
        <v>45658</v>
      </c>
      <c r="B842" t="s">
        <v>210</v>
      </c>
      <c r="C842">
        <v>0</v>
      </c>
      <c r="D842">
        <v>50</v>
      </c>
      <c r="E842">
        <v>399</v>
      </c>
      <c r="F842">
        <v>483</v>
      </c>
      <c r="G842">
        <v>122</v>
      </c>
      <c r="H842" t="str">
        <f>IF(C842&lt;=_xlfn.XLOOKUP(B842,Products!A:A,Products!I:I),"REORDER REVIEW","Stock OK")</f>
        <v>REORDER REVIEW</v>
      </c>
    </row>
    <row r="843" spans="1:8">
      <c r="A843" s="2">
        <v>45689</v>
      </c>
      <c r="B843" t="s">
        <v>210</v>
      </c>
      <c r="C843">
        <v>0</v>
      </c>
      <c r="D843">
        <v>200</v>
      </c>
      <c r="E843">
        <v>577</v>
      </c>
      <c r="F843">
        <v>483</v>
      </c>
      <c r="G843">
        <v>122</v>
      </c>
      <c r="H843" t="str">
        <f>IF(C843&lt;=_xlfn.XLOOKUP(B843,Products!A:A,Products!I:I),"REORDER REVIEW","Stock OK")</f>
        <v>REORDER REVIEW</v>
      </c>
    </row>
    <row r="844" spans="1:8">
      <c r="A844" s="2">
        <v>45717</v>
      </c>
      <c r="B844" t="s">
        <v>210</v>
      </c>
      <c r="C844">
        <v>0</v>
      </c>
      <c r="D844">
        <v>0</v>
      </c>
      <c r="E844">
        <v>417</v>
      </c>
      <c r="F844">
        <v>483</v>
      </c>
      <c r="G844">
        <v>122</v>
      </c>
      <c r="H844" t="str">
        <f>IF(C844&lt;=_xlfn.XLOOKUP(B844,Products!A:A,Products!I:I),"REORDER REVIEW","Stock OK")</f>
        <v>REORDER REVIEW</v>
      </c>
    </row>
    <row r="845" spans="1:8">
      <c r="A845" s="2">
        <v>45748</v>
      </c>
      <c r="B845" t="s">
        <v>210</v>
      </c>
      <c r="C845">
        <v>0</v>
      </c>
      <c r="D845">
        <v>100</v>
      </c>
      <c r="E845">
        <v>394</v>
      </c>
      <c r="F845">
        <v>483</v>
      </c>
      <c r="G845">
        <v>122</v>
      </c>
      <c r="H845" t="str">
        <f>IF(C845&lt;=_xlfn.XLOOKUP(B845,Products!A:A,Products!I:I),"REORDER REVIEW","Stock OK")</f>
        <v>REORDER REVIEW</v>
      </c>
    </row>
    <row r="846" spans="1:8">
      <c r="A846" s="2">
        <v>45778</v>
      </c>
      <c r="B846" t="s">
        <v>210</v>
      </c>
      <c r="C846">
        <v>0</v>
      </c>
      <c r="D846">
        <v>200</v>
      </c>
      <c r="E846">
        <v>461</v>
      </c>
      <c r="F846">
        <v>483</v>
      </c>
      <c r="G846">
        <v>122</v>
      </c>
      <c r="H846" t="str">
        <f>IF(C846&lt;=_xlfn.XLOOKUP(B846,Products!A:A,Products!I:I),"REORDER REVIEW","Stock OK")</f>
        <v>REORDER REVIEW</v>
      </c>
    </row>
    <row r="847" spans="1:8">
      <c r="A847" s="2">
        <v>45809</v>
      </c>
      <c r="B847" t="s">
        <v>210</v>
      </c>
      <c r="C847">
        <v>0</v>
      </c>
      <c r="D847">
        <v>0</v>
      </c>
      <c r="E847">
        <v>338</v>
      </c>
      <c r="F847">
        <v>483</v>
      </c>
      <c r="G847">
        <v>122</v>
      </c>
      <c r="H847" t="str">
        <f>IF(C847&lt;=_xlfn.XLOOKUP(B847,Products!A:A,Products!I:I),"REORDER REVIEW","Stock OK")</f>
        <v>REORDER REVIEW</v>
      </c>
    </row>
    <row r="848" spans="1:8">
      <c r="A848" s="2">
        <v>45839</v>
      </c>
      <c r="B848" t="s">
        <v>210</v>
      </c>
      <c r="C848">
        <v>0</v>
      </c>
      <c r="D848">
        <v>200</v>
      </c>
      <c r="E848">
        <v>461</v>
      </c>
      <c r="F848">
        <v>483</v>
      </c>
      <c r="G848">
        <v>122</v>
      </c>
      <c r="H848" t="str">
        <f>IF(C848&lt;=_xlfn.XLOOKUP(B848,Products!A:A,Products!I:I),"REORDER REVIEW","Stock OK")</f>
        <v>REORDER REVIEW</v>
      </c>
    </row>
    <row r="849" spans="1:8">
      <c r="A849" s="2">
        <v>45870</v>
      </c>
      <c r="B849" t="s">
        <v>210</v>
      </c>
      <c r="C849">
        <v>0</v>
      </c>
      <c r="D849">
        <v>50</v>
      </c>
      <c r="E849">
        <v>566</v>
      </c>
      <c r="F849">
        <v>483</v>
      </c>
      <c r="G849">
        <v>122</v>
      </c>
      <c r="H849" t="str">
        <f>IF(C849&lt;=_xlfn.XLOOKUP(B849,Products!A:A,Products!I:I),"REORDER REVIEW","Stock OK")</f>
        <v>REORDER REVIEW</v>
      </c>
    </row>
    <row r="850" spans="1:8">
      <c r="A850" s="2">
        <v>45901</v>
      </c>
      <c r="B850" t="s">
        <v>210</v>
      </c>
      <c r="C850">
        <v>0</v>
      </c>
      <c r="D850">
        <v>0</v>
      </c>
      <c r="E850">
        <v>339</v>
      </c>
      <c r="F850">
        <v>483</v>
      </c>
      <c r="G850">
        <v>122</v>
      </c>
      <c r="H850" t="str">
        <f>IF(C850&lt;=_xlfn.XLOOKUP(B850,Products!A:A,Products!I:I),"REORDER REVIEW","Stock OK")</f>
        <v>REORDER REVIEW</v>
      </c>
    </row>
    <row r="851" spans="1:8">
      <c r="A851" s="2">
        <v>45931</v>
      </c>
      <c r="B851" t="s">
        <v>210</v>
      </c>
      <c r="C851">
        <v>0</v>
      </c>
      <c r="D851">
        <v>0</v>
      </c>
      <c r="E851">
        <v>600</v>
      </c>
      <c r="F851">
        <v>483</v>
      </c>
      <c r="G851">
        <v>122</v>
      </c>
      <c r="H851" t="str">
        <f>IF(C851&lt;=_xlfn.XLOOKUP(B851,Products!A:A,Products!I:I),"REORDER REVIEW","Stock OK")</f>
        <v>REORDER REVIEW</v>
      </c>
    </row>
    <row r="852" spans="1:8">
      <c r="A852" s="2">
        <v>45962</v>
      </c>
      <c r="B852" t="s">
        <v>210</v>
      </c>
      <c r="C852">
        <v>0</v>
      </c>
      <c r="D852">
        <v>0</v>
      </c>
      <c r="E852">
        <v>710</v>
      </c>
      <c r="F852">
        <v>483</v>
      </c>
      <c r="G852">
        <v>122</v>
      </c>
      <c r="H852" t="str">
        <f>IF(C852&lt;=_xlfn.XLOOKUP(B852,Products!A:A,Products!I:I),"REORDER REVIEW","Stock OK")</f>
        <v>REORDER REVIEW</v>
      </c>
    </row>
    <row r="853" spans="1:8">
      <c r="A853" s="2">
        <v>45992</v>
      </c>
      <c r="B853" t="s">
        <v>210</v>
      </c>
      <c r="C853">
        <v>0</v>
      </c>
      <c r="D853">
        <v>100</v>
      </c>
      <c r="E853">
        <v>599</v>
      </c>
      <c r="F853">
        <v>483</v>
      </c>
      <c r="G853">
        <v>122</v>
      </c>
      <c r="H853" t="str">
        <f>IF(C853&lt;=_xlfn.XLOOKUP(B853,Products!A:A,Products!I:I),"REORDER REVIEW","Stock OK")</f>
        <v>REORDER REVIEW</v>
      </c>
    </row>
    <row r="854" spans="1:8">
      <c r="A854" s="2">
        <v>45658</v>
      </c>
      <c r="B854" t="s">
        <v>212</v>
      </c>
      <c r="C854">
        <v>254</v>
      </c>
      <c r="D854">
        <v>0</v>
      </c>
      <c r="E854">
        <v>481</v>
      </c>
      <c r="F854">
        <v>549</v>
      </c>
      <c r="G854">
        <v>130</v>
      </c>
      <c r="H854" t="str">
        <f>IF(C854&lt;=_xlfn.XLOOKUP(B854,Products!A:A,Products!I:I),"REORDER REVIEW","Stock OK")</f>
        <v>REORDER REVIEW</v>
      </c>
    </row>
    <row r="855" spans="1:8">
      <c r="A855" s="2">
        <v>45689</v>
      </c>
      <c r="B855" t="s">
        <v>212</v>
      </c>
      <c r="C855">
        <v>7</v>
      </c>
      <c r="D855">
        <v>100</v>
      </c>
      <c r="E855">
        <v>547</v>
      </c>
      <c r="F855">
        <v>549</v>
      </c>
      <c r="G855">
        <v>130</v>
      </c>
      <c r="H855" t="str">
        <f>IF(C855&lt;=_xlfn.XLOOKUP(B855,Products!A:A,Products!I:I),"REORDER REVIEW","Stock OK")</f>
        <v>REORDER REVIEW</v>
      </c>
    </row>
    <row r="856" spans="1:8">
      <c r="A856" s="2">
        <v>45717</v>
      </c>
      <c r="B856" t="s">
        <v>212</v>
      </c>
      <c r="C856">
        <v>0</v>
      </c>
      <c r="D856">
        <v>0</v>
      </c>
      <c r="E856">
        <v>241</v>
      </c>
      <c r="F856">
        <v>549</v>
      </c>
      <c r="G856">
        <v>130</v>
      </c>
      <c r="H856" t="str">
        <f>IF(C856&lt;=_xlfn.XLOOKUP(B856,Products!A:A,Products!I:I),"REORDER REVIEW","Stock OK")</f>
        <v>REORDER REVIEW</v>
      </c>
    </row>
    <row r="857" spans="1:8">
      <c r="A857" s="2">
        <v>45748</v>
      </c>
      <c r="B857" t="s">
        <v>212</v>
      </c>
      <c r="C857">
        <v>0</v>
      </c>
      <c r="D857">
        <v>0</v>
      </c>
      <c r="E857">
        <v>498</v>
      </c>
      <c r="F857">
        <v>549</v>
      </c>
      <c r="G857">
        <v>130</v>
      </c>
      <c r="H857" t="str">
        <f>IF(C857&lt;=_xlfn.XLOOKUP(B857,Products!A:A,Products!I:I),"REORDER REVIEW","Stock OK")</f>
        <v>REORDER REVIEW</v>
      </c>
    </row>
    <row r="858" spans="1:8">
      <c r="A858" s="2">
        <v>45778</v>
      </c>
      <c r="B858" t="s">
        <v>212</v>
      </c>
      <c r="C858">
        <v>0</v>
      </c>
      <c r="D858">
        <v>50</v>
      </c>
      <c r="E858">
        <v>554</v>
      </c>
      <c r="F858">
        <v>549</v>
      </c>
      <c r="G858">
        <v>130</v>
      </c>
      <c r="H858" t="str">
        <f>IF(C858&lt;=_xlfn.XLOOKUP(B858,Products!A:A,Products!I:I),"REORDER REVIEW","Stock OK")</f>
        <v>REORDER REVIEW</v>
      </c>
    </row>
    <row r="859" spans="1:8">
      <c r="A859" s="2">
        <v>45809</v>
      </c>
      <c r="B859" t="s">
        <v>212</v>
      </c>
      <c r="C859">
        <v>0</v>
      </c>
      <c r="D859">
        <v>0</v>
      </c>
      <c r="E859">
        <v>470</v>
      </c>
      <c r="F859">
        <v>549</v>
      </c>
      <c r="G859">
        <v>130</v>
      </c>
      <c r="H859" t="str">
        <f>IF(C859&lt;=_xlfn.XLOOKUP(B859,Products!A:A,Products!I:I),"REORDER REVIEW","Stock OK")</f>
        <v>REORDER REVIEW</v>
      </c>
    </row>
    <row r="860" spans="1:8">
      <c r="A860" s="2">
        <v>45839</v>
      </c>
      <c r="B860" t="s">
        <v>212</v>
      </c>
      <c r="C860">
        <v>0</v>
      </c>
      <c r="D860">
        <v>0</v>
      </c>
      <c r="E860">
        <v>438</v>
      </c>
      <c r="F860">
        <v>549</v>
      </c>
      <c r="G860">
        <v>130</v>
      </c>
      <c r="H860" t="str">
        <f>IF(C860&lt;=_xlfn.XLOOKUP(B860,Products!A:A,Products!I:I),"REORDER REVIEW","Stock OK")</f>
        <v>REORDER REVIEW</v>
      </c>
    </row>
    <row r="861" spans="1:8">
      <c r="A861" s="2">
        <v>45870</v>
      </c>
      <c r="B861" t="s">
        <v>212</v>
      </c>
      <c r="C861">
        <v>0</v>
      </c>
      <c r="D861">
        <v>0</v>
      </c>
      <c r="E861">
        <v>266</v>
      </c>
      <c r="F861">
        <v>549</v>
      </c>
      <c r="G861">
        <v>130</v>
      </c>
      <c r="H861" t="str">
        <f>IF(C861&lt;=_xlfn.XLOOKUP(B861,Products!A:A,Products!I:I),"REORDER REVIEW","Stock OK")</f>
        <v>REORDER REVIEW</v>
      </c>
    </row>
    <row r="862" spans="1:8">
      <c r="A862" s="2">
        <v>45901</v>
      </c>
      <c r="B862" t="s">
        <v>212</v>
      </c>
      <c r="C862">
        <v>0</v>
      </c>
      <c r="D862">
        <v>0</v>
      </c>
      <c r="E862">
        <v>410</v>
      </c>
      <c r="F862">
        <v>549</v>
      </c>
      <c r="G862">
        <v>130</v>
      </c>
      <c r="H862" t="str">
        <f>IF(C862&lt;=_xlfn.XLOOKUP(B862,Products!A:A,Products!I:I),"REORDER REVIEW","Stock OK")</f>
        <v>REORDER REVIEW</v>
      </c>
    </row>
    <row r="863" spans="1:8">
      <c r="A863" s="2">
        <v>45931</v>
      </c>
      <c r="B863" t="s">
        <v>212</v>
      </c>
      <c r="C863">
        <v>0</v>
      </c>
      <c r="D863">
        <v>50</v>
      </c>
      <c r="E863">
        <v>565</v>
      </c>
      <c r="F863">
        <v>549</v>
      </c>
      <c r="G863">
        <v>130</v>
      </c>
      <c r="H863" t="str">
        <f>IF(C863&lt;=_xlfn.XLOOKUP(B863,Products!A:A,Products!I:I),"REORDER REVIEW","Stock OK")</f>
        <v>REORDER REVIEW</v>
      </c>
    </row>
    <row r="864" spans="1:8">
      <c r="A864" s="2">
        <v>45962</v>
      </c>
      <c r="B864" t="s">
        <v>212</v>
      </c>
      <c r="C864">
        <v>0</v>
      </c>
      <c r="D864">
        <v>200</v>
      </c>
      <c r="E864">
        <v>475</v>
      </c>
      <c r="F864">
        <v>549</v>
      </c>
      <c r="G864">
        <v>130</v>
      </c>
      <c r="H864" t="str">
        <f>IF(C864&lt;=_xlfn.XLOOKUP(B864,Products!A:A,Products!I:I),"REORDER REVIEW","Stock OK")</f>
        <v>REORDER REVIEW</v>
      </c>
    </row>
    <row r="865" spans="1:8">
      <c r="A865" s="2">
        <v>45992</v>
      </c>
      <c r="B865" t="s">
        <v>212</v>
      </c>
      <c r="C865">
        <v>0</v>
      </c>
      <c r="D865">
        <v>0</v>
      </c>
      <c r="E865">
        <v>376</v>
      </c>
      <c r="F865">
        <v>549</v>
      </c>
      <c r="G865">
        <v>130</v>
      </c>
      <c r="H865" t="str">
        <f>IF(C865&lt;=_xlfn.XLOOKUP(B865,Products!A:A,Products!I:I),"REORDER REVIEW","Stock OK")</f>
        <v>REORDER REVIEW</v>
      </c>
    </row>
    <row r="866" spans="1:8">
      <c r="A866" s="2">
        <v>45658</v>
      </c>
      <c r="B866" t="s">
        <v>214</v>
      </c>
      <c r="C866">
        <v>68</v>
      </c>
      <c r="D866">
        <v>0</v>
      </c>
      <c r="E866">
        <v>360</v>
      </c>
      <c r="F866">
        <v>593</v>
      </c>
      <c r="G866">
        <v>158</v>
      </c>
      <c r="H866" t="str">
        <f>IF(C866&lt;=_xlfn.XLOOKUP(B866,Products!A:A,Products!I:I),"REORDER REVIEW","Stock OK")</f>
        <v>REORDER REVIEW</v>
      </c>
    </row>
    <row r="867" spans="1:8">
      <c r="A867" s="2">
        <v>45689</v>
      </c>
      <c r="B867" t="s">
        <v>214</v>
      </c>
      <c r="C867">
        <v>0</v>
      </c>
      <c r="D867">
        <v>0</v>
      </c>
      <c r="E867">
        <v>672</v>
      </c>
      <c r="F867">
        <v>593</v>
      </c>
      <c r="G867">
        <v>158</v>
      </c>
      <c r="H867" t="str">
        <f>IF(C867&lt;=_xlfn.XLOOKUP(B867,Products!A:A,Products!I:I),"REORDER REVIEW","Stock OK")</f>
        <v>REORDER REVIEW</v>
      </c>
    </row>
    <row r="868" spans="1:8">
      <c r="A868" s="2">
        <v>45717</v>
      </c>
      <c r="B868" t="s">
        <v>214</v>
      </c>
      <c r="C868">
        <v>0</v>
      </c>
      <c r="D868">
        <v>0</v>
      </c>
      <c r="E868">
        <v>629</v>
      </c>
      <c r="F868">
        <v>593</v>
      </c>
      <c r="G868">
        <v>158</v>
      </c>
      <c r="H868" t="str">
        <f>IF(C868&lt;=_xlfn.XLOOKUP(B868,Products!A:A,Products!I:I),"REORDER REVIEW","Stock OK")</f>
        <v>REORDER REVIEW</v>
      </c>
    </row>
    <row r="869" spans="1:8">
      <c r="A869" s="2">
        <v>45748</v>
      </c>
      <c r="B869" t="s">
        <v>214</v>
      </c>
      <c r="C869">
        <v>0</v>
      </c>
      <c r="D869">
        <v>0</v>
      </c>
      <c r="E869">
        <v>589</v>
      </c>
      <c r="F869">
        <v>593</v>
      </c>
      <c r="G869">
        <v>158</v>
      </c>
      <c r="H869" t="str">
        <f>IF(C869&lt;=_xlfn.XLOOKUP(B869,Products!A:A,Products!I:I),"REORDER REVIEW","Stock OK")</f>
        <v>REORDER REVIEW</v>
      </c>
    </row>
    <row r="870" spans="1:8">
      <c r="A870" s="2">
        <v>45778</v>
      </c>
      <c r="B870" t="s">
        <v>214</v>
      </c>
      <c r="C870">
        <v>0</v>
      </c>
      <c r="D870">
        <v>0</v>
      </c>
      <c r="E870">
        <v>663</v>
      </c>
      <c r="F870">
        <v>593</v>
      </c>
      <c r="G870">
        <v>158</v>
      </c>
      <c r="H870" t="str">
        <f>IF(C870&lt;=_xlfn.XLOOKUP(B870,Products!A:A,Products!I:I),"REORDER REVIEW","Stock OK")</f>
        <v>REORDER REVIEW</v>
      </c>
    </row>
    <row r="871" spans="1:8">
      <c r="A871" s="2">
        <v>45809</v>
      </c>
      <c r="B871" t="s">
        <v>214</v>
      </c>
      <c r="C871">
        <v>0</v>
      </c>
      <c r="D871">
        <v>200</v>
      </c>
      <c r="E871">
        <v>449</v>
      </c>
      <c r="F871">
        <v>593</v>
      </c>
      <c r="G871">
        <v>158</v>
      </c>
      <c r="H871" t="str">
        <f>IF(C871&lt;=_xlfn.XLOOKUP(B871,Products!A:A,Products!I:I),"REORDER REVIEW","Stock OK")</f>
        <v>REORDER REVIEW</v>
      </c>
    </row>
    <row r="872" spans="1:8">
      <c r="A872" s="2">
        <v>45839</v>
      </c>
      <c r="B872" t="s">
        <v>214</v>
      </c>
      <c r="C872">
        <v>0</v>
      </c>
      <c r="D872">
        <v>200</v>
      </c>
      <c r="E872">
        <v>820</v>
      </c>
      <c r="F872">
        <v>593</v>
      </c>
      <c r="G872">
        <v>158</v>
      </c>
      <c r="H872" t="str">
        <f>IF(C872&lt;=_xlfn.XLOOKUP(B872,Products!A:A,Products!I:I),"REORDER REVIEW","Stock OK")</f>
        <v>REORDER REVIEW</v>
      </c>
    </row>
    <row r="873" spans="1:8">
      <c r="A873" s="2">
        <v>45870</v>
      </c>
      <c r="B873" t="s">
        <v>214</v>
      </c>
      <c r="C873">
        <v>0</v>
      </c>
      <c r="D873">
        <v>0</v>
      </c>
      <c r="E873">
        <v>653</v>
      </c>
      <c r="F873">
        <v>593</v>
      </c>
      <c r="G873">
        <v>158</v>
      </c>
      <c r="H873" t="str">
        <f>IF(C873&lt;=_xlfn.XLOOKUP(B873,Products!A:A,Products!I:I),"REORDER REVIEW","Stock OK")</f>
        <v>REORDER REVIEW</v>
      </c>
    </row>
    <row r="874" spans="1:8">
      <c r="A874" s="2">
        <v>45901</v>
      </c>
      <c r="B874" t="s">
        <v>214</v>
      </c>
      <c r="C874">
        <v>0</v>
      </c>
      <c r="D874">
        <v>0</v>
      </c>
      <c r="E874">
        <v>455</v>
      </c>
      <c r="F874">
        <v>593</v>
      </c>
      <c r="G874">
        <v>158</v>
      </c>
      <c r="H874" t="str">
        <f>IF(C874&lt;=_xlfn.XLOOKUP(B874,Products!A:A,Products!I:I),"REORDER REVIEW","Stock OK")</f>
        <v>REORDER REVIEW</v>
      </c>
    </row>
    <row r="875" spans="1:8">
      <c r="A875" s="2">
        <v>45931</v>
      </c>
      <c r="B875" t="s">
        <v>214</v>
      </c>
      <c r="C875">
        <v>0</v>
      </c>
      <c r="D875">
        <v>0</v>
      </c>
      <c r="E875">
        <v>832</v>
      </c>
      <c r="F875">
        <v>593</v>
      </c>
      <c r="G875">
        <v>158</v>
      </c>
      <c r="H875" t="str">
        <f>IF(C875&lt;=_xlfn.XLOOKUP(B875,Products!A:A,Products!I:I),"REORDER REVIEW","Stock OK")</f>
        <v>REORDER REVIEW</v>
      </c>
    </row>
    <row r="876" spans="1:8">
      <c r="A876" s="2">
        <v>45962</v>
      </c>
      <c r="B876" t="s">
        <v>214</v>
      </c>
      <c r="C876">
        <v>0</v>
      </c>
      <c r="D876">
        <v>100</v>
      </c>
      <c r="E876">
        <v>630</v>
      </c>
      <c r="F876">
        <v>593</v>
      </c>
      <c r="G876">
        <v>158</v>
      </c>
      <c r="H876" t="str">
        <f>IF(C876&lt;=_xlfn.XLOOKUP(B876,Products!A:A,Products!I:I),"REORDER REVIEW","Stock OK")</f>
        <v>REORDER REVIEW</v>
      </c>
    </row>
    <row r="877" spans="1:8">
      <c r="A877" s="2">
        <v>45992</v>
      </c>
      <c r="B877" t="s">
        <v>214</v>
      </c>
      <c r="C877">
        <v>0</v>
      </c>
      <c r="D877">
        <v>200</v>
      </c>
      <c r="E877">
        <v>597</v>
      </c>
      <c r="F877">
        <v>593</v>
      </c>
      <c r="G877">
        <v>158</v>
      </c>
      <c r="H877" t="str">
        <f>IF(C877&lt;=_xlfn.XLOOKUP(B877,Products!A:A,Products!I:I),"REORDER REVIEW","Stock OK")</f>
        <v>REORDER REVIEW</v>
      </c>
    </row>
    <row r="878" spans="1:8">
      <c r="A878" s="2">
        <v>45658</v>
      </c>
      <c r="B878" t="s">
        <v>216</v>
      </c>
      <c r="C878">
        <v>0</v>
      </c>
      <c r="D878">
        <v>0</v>
      </c>
      <c r="E878">
        <v>104</v>
      </c>
      <c r="F878">
        <v>246</v>
      </c>
      <c r="G878">
        <v>159</v>
      </c>
      <c r="H878" t="str">
        <f>IF(C878&lt;=_xlfn.XLOOKUP(B878,Products!A:A,Products!I:I),"REORDER REVIEW","Stock OK")</f>
        <v>REORDER REVIEW</v>
      </c>
    </row>
    <row r="879" spans="1:8">
      <c r="A879" s="2">
        <v>45689</v>
      </c>
      <c r="B879" t="s">
        <v>216</v>
      </c>
      <c r="C879">
        <v>0</v>
      </c>
      <c r="D879">
        <v>0</v>
      </c>
      <c r="E879">
        <v>190</v>
      </c>
      <c r="F879">
        <v>246</v>
      </c>
      <c r="G879">
        <v>159</v>
      </c>
      <c r="H879" t="str">
        <f>IF(C879&lt;=_xlfn.XLOOKUP(B879,Products!A:A,Products!I:I),"REORDER REVIEW","Stock OK")</f>
        <v>REORDER REVIEW</v>
      </c>
    </row>
    <row r="880" spans="1:8">
      <c r="A880" s="2">
        <v>45717</v>
      </c>
      <c r="B880" t="s">
        <v>216</v>
      </c>
      <c r="C880">
        <v>15</v>
      </c>
      <c r="D880">
        <v>0</v>
      </c>
      <c r="E880">
        <v>85</v>
      </c>
      <c r="F880">
        <v>246</v>
      </c>
      <c r="G880">
        <v>159</v>
      </c>
      <c r="H880" t="str">
        <f>IF(C880&lt;=_xlfn.XLOOKUP(B880,Products!A:A,Products!I:I),"REORDER REVIEW","Stock OK")</f>
        <v>REORDER REVIEW</v>
      </c>
    </row>
    <row r="881" spans="1:8">
      <c r="A881" s="2">
        <v>45748</v>
      </c>
      <c r="B881" t="s">
        <v>216</v>
      </c>
      <c r="C881">
        <v>0</v>
      </c>
      <c r="D881">
        <v>200</v>
      </c>
      <c r="E881">
        <v>140</v>
      </c>
      <c r="F881">
        <v>246</v>
      </c>
      <c r="G881">
        <v>159</v>
      </c>
      <c r="H881" t="str">
        <f>IF(C881&lt;=_xlfn.XLOOKUP(B881,Products!A:A,Products!I:I),"REORDER REVIEW","Stock OK")</f>
        <v>REORDER REVIEW</v>
      </c>
    </row>
    <row r="882" spans="1:8">
      <c r="A882" s="2">
        <v>45778</v>
      </c>
      <c r="B882" t="s">
        <v>216</v>
      </c>
      <c r="C882">
        <v>13</v>
      </c>
      <c r="D882">
        <v>0</v>
      </c>
      <c r="E882">
        <v>87</v>
      </c>
      <c r="F882">
        <v>246</v>
      </c>
      <c r="G882">
        <v>159</v>
      </c>
      <c r="H882" t="str">
        <f>IF(C882&lt;=_xlfn.XLOOKUP(B882,Products!A:A,Products!I:I),"REORDER REVIEW","Stock OK")</f>
        <v>REORDER REVIEW</v>
      </c>
    </row>
    <row r="883" spans="1:8">
      <c r="A883" s="2">
        <v>45809</v>
      </c>
      <c r="B883" t="s">
        <v>216</v>
      </c>
      <c r="C883">
        <v>0</v>
      </c>
      <c r="D883">
        <v>50</v>
      </c>
      <c r="E883">
        <v>218</v>
      </c>
      <c r="F883">
        <v>246</v>
      </c>
      <c r="G883">
        <v>159</v>
      </c>
      <c r="H883" t="str">
        <f>IF(C883&lt;=_xlfn.XLOOKUP(B883,Products!A:A,Products!I:I),"REORDER REVIEW","Stock OK")</f>
        <v>REORDER REVIEW</v>
      </c>
    </row>
    <row r="884" spans="1:8">
      <c r="A884" s="2">
        <v>45839</v>
      </c>
      <c r="B884" t="s">
        <v>216</v>
      </c>
      <c r="C884">
        <v>0</v>
      </c>
      <c r="D884">
        <v>100</v>
      </c>
      <c r="E884">
        <v>220</v>
      </c>
      <c r="F884">
        <v>246</v>
      </c>
      <c r="G884">
        <v>159</v>
      </c>
      <c r="H884" t="str">
        <f>IF(C884&lt;=_xlfn.XLOOKUP(B884,Products!A:A,Products!I:I),"REORDER REVIEW","Stock OK")</f>
        <v>REORDER REVIEW</v>
      </c>
    </row>
    <row r="885" spans="1:8">
      <c r="A885" s="2">
        <v>45870</v>
      </c>
      <c r="B885" t="s">
        <v>216</v>
      </c>
      <c r="C885">
        <v>0</v>
      </c>
      <c r="D885">
        <v>100</v>
      </c>
      <c r="E885">
        <v>216</v>
      </c>
      <c r="F885">
        <v>246</v>
      </c>
      <c r="G885">
        <v>159</v>
      </c>
      <c r="H885" t="str">
        <f>IF(C885&lt;=_xlfn.XLOOKUP(B885,Products!A:A,Products!I:I),"REORDER REVIEW","Stock OK")</f>
        <v>REORDER REVIEW</v>
      </c>
    </row>
    <row r="886" spans="1:8">
      <c r="A886" s="2">
        <v>45901</v>
      </c>
      <c r="B886" t="s">
        <v>216</v>
      </c>
      <c r="C886">
        <v>85</v>
      </c>
      <c r="D886">
        <v>0</v>
      </c>
      <c r="E886">
        <v>215</v>
      </c>
      <c r="F886">
        <v>246</v>
      </c>
      <c r="G886">
        <v>159</v>
      </c>
      <c r="H886" t="str">
        <f>IF(C886&lt;=_xlfn.XLOOKUP(B886,Products!A:A,Products!I:I),"REORDER REVIEW","Stock OK")</f>
        <v>REORDER REVIEW</v>
      </c>
    </row>
    <row r="887" spans="1:8">
      <c r="A887" s="2">
        <v>45931</v>
      </c>
      <c r="B887" t="s">
        <v>216</v>
      </c>
      <c r="C887">
        <v>0</v>
      </c>
      <c r="D887">
        <v>0</v>
      </c>
      <c r="E887">
        <v>212</v>
      </c>
      <c r="F887">
        <v>246</v>
      </c>
      <c r="G887">
        <v>159</v>
      </c>
      <c r="H887" t="str">
        <f>IF(C887&lt;=_xlfn.XLOOKUP(B887,Products!A:A,Products!I:I),"REORDER REVIEW","Stock OK")</f>
        <v>REORDER REVIEW</v>
      </c>
    </row>
    <row r="888" spans="1:8">
      <c r="A888" s="2">
        <v>45962</v>
      </c>
      <c r="B888" t="s">
        <v>216</v>
      </c>
      <c r="C888">
        <v>0</v>
      </c>
      <c r="D888">
        <v>200</v>
      </c>
      <c r="E888">
        <v>286</v>
      </c>
      <c r="F888">
        <v>246</v>
      </c>
      <c r="G888">
        <v>159</v>
      </c>
      <c r="H888" t="str">
        <f>IF(C888&lt;=_xlfn.XLOOKUP(B888,Products!A:A,Products!I:I),"REORDER REVIEW","Stock OK")</f>
        <v>REORDER REVIEW</v>
      </c>
    </row>
    <row r="889" spans="1:8">
      <c r="A889" s="2">
        <v>45992</v>
      </c>
      <c r="B889" t="s">
        <v>216</v>
      </c>
      <c r="C889">
        <v>0</v>
      </c>
      <c r="D889">
        <v>100</v>
      </c>
      <c r="E889">
        <v>137</v>
      </c>
      <c r="F889">
        <v>246</v>
      </c>
      <c r="G889">
        <v>159</v>
      </c>
      <c r="H889" t="str">
        <f>IF(C889&lt;=_xlfn.XLOOKUP(B889,Products!A:A,Products!I:I),"REORDER REVIEW","Stock OK")</f>
        <v>REORDER REVIEW</v>
      </c>
    </row>
    <row r="890" spans="1:8">
      <c r="A890" s="2">
        <v>45658</v>
      </c>
      <c r="B890" t="s">
        <v>218</v>
      </c>
      <c r="C890">
        <v>19</v>
      </c>
      <c r="D890">
        <v>0</v>
      </c>
      <c r="E890">
        <v>316</v>
      </c>
      <c r="F890">
        <v>289</v>
      </c>
      <c r="G890">
        <v>131</v>
      </c>
      <c r="H890" t="str">
        <f>IF(C890&lt;=_xlfn.XLOOKUP(B890,Products!A:A,Products!I:I),"REORDER REVIEW","Stock OK")</f>
        <v>REORDER REVIEW</v>
      </c>
    </row>
    <row r="891" spans="1:8">
      <c r="A891" s="2">
        <v>45689</v>
      </c>
      <c r="B891" t="s">
        <v>218</v>
      </c>
      <c r="C891">
        <v>0</v>
      </c>
      <c r="D891">
        <v>0</v>
      </c>
      <c r="E891">
        <v>576</v>
      </c>
      <c r="F891">
        <v>289</v>
      </c>
      <c r="G891">
        <v>131</v>
      </c>
      <c r="H891" t="str">
        <f>IF(C891&lt;=_xlfn.XLOOKUP(B891,Products!A:A,Products!I:I),"REORDER REVIEW","Stock OK")</f>
        <v>REORDER REVIEW</v>
      </c>
    </row>
    <row r="892" spans="1:8">
      <c r="A892" s="2">
        <v>45717</v>
      </c>
      <c r="B892" t="s">
        <v>218</v>
      </c>
      <c r="C892">
        <v>0</v>
      </c>
      <c r="D892">
        <v>100</v>
      </c>
      <c r="E892">
        <v>464</v>
      </c>
      <c r="F892">
        <v>289</v>
      </c>
      <c r="G892">
        <v>131</v>
      </c>
      <c r="H892" t="str">
        <f>IF(C892&lt;=_xlfn.XLOOKUP(B892,Products!A:A,Products!I:I),"REORDER REVIEW","Stock OK")</f>
        <v>REORDER REVIEW</v>
      </c>
    </row>
    <row r="893" spans="1:8">
      <c r="A893" s="2">
        <v>45748</v>
      </c>
      <c r="B893" t="s">
        <v>218</v>
      </c>
      <c r="C893">
        <v>0</v>
      </c>
      <c r="D893">
        <v>200</v>
      </c>
      <c r="E893">
        <v>721</v>
      </c>
      <c r="F893">
        <v>289</v>
      </c>
      <c r="G893">
        <v>131</v>
      </c>
      <c r="H893" t="str">
        <f>IF(C893&lt;=_xlfn.XLOOKUP(B893,Products!A:A,Products!I:I),"REORDER REVIEW","Stock OK")</f>
        <v>REORDER REVIEW</v>
      </c>
    </row>
    <row r="894" spans="1:8">
      <c r="A894" s="2">
        <v>45778</v>
      </c>
      <c r="B894" t="s">
        <v>218</v>
      </c>
      <c r="C894">
        <v>0</v>
      </c>
      <c r="D894">
        <v>0</v>
      </c>
      <c r="E894">
        <v>712</v>
      </c>
      <c r="F894">
        <v>289</v>
      </c>
      <c r="G894">
        <v>131</v>
      </c>
      <c r="H894" t="str">
        <f>IF(C894&lt;=_xlfn.XLOOKUP(B894,Products!A:A,Products!I:I),"REORDER REVIEW","Stock OK")</f>
        <v>REORDER REVIEW</v>
      </c>
    </row>
    <row r="895" spans="1:8">
      <c r="A895" s="2">
        <v>45809</v>
      </c>
      <c r="B895" t="s">
        <v>218</v>
      </c>
      <c r="C895">
        <v>0</v>
      </c>
      <c r="D895">
        <v>0</v>
      </c>
      <c r="E895">
        <v>268</v>
      </c>
      <c r="F895">
        <v>289</v>
      </c>
      <c r="G895">
        <v>131</v>
      </c>
      <c r="H895" t="str">
        <f>IF(C895&lt;=_xlfn.XLOOKUP(B895,Products!A:A,Products!I:I),"REORDER REVIEW","Stock OK")</f>
        <v>REORDER REVIEW</v>
      </c>
    </row>
    <row r="896" spans="1:8">
      <c r="A896" s="2">
        <v>45839</v>
      </c>
      <c r="B896" t="s">
        <v>218</v>
      </c>
      <c r="C896">
        <v>0</v>
      </c>
      <c r="D896">
        <v>0</v>
      </c>
      <c r="E896">
        <v>749</v>
      </c>
      <c r="F896">
        <v>289</v>
      </c>
      <c r="G896">
        <v>131</v>
      </c>
      <c r="H896" t="str">
        <f>IF(C896&lt;=_xlfn.XLOOKUP(B896,Products!A:A,Products!I:I),"REORDER REVIEW","Stock OK")</f>
        <v>REORDER REVIEW</v>
      </c>
    </row>
    <row r="897" spans="1:8">
      <c r="A897" s="2">
        <v>45870</v>
      </c>
      <c r="B897" t="s">
        <v>218</v>
      </c>
      <c r="C897">
        <v>0</v>
      </c>
      <c r="D897">
        <v>0</v>
      </c>
      <c r="E897">
        <v>513</v>
      </c>
      <c r="F897">
        <v>289</v>
      </c>
      <c r="G897">
        <v>131</v>
      </c>
      <c r="H897" t="str">
        <f>IF(C897&lt;=_xlfn.XLOOKUP(B897,Products!A:A,Products!I:I),"REORDER REVIEW","Stock OK")</f>
        <v>REORDER REVIEW</v>
      </c>
    </row>
    <row r="898" spans="1:8">
      <c r="A898" s="2">
        <v>45901</v>
      </c>
      <c r="B898" t="s">
        <v>218</v>
      </c>
      <c r="C898">
        <v>0</v>
      </c>
      <c r="D898">
        <v>0</v>
      </c>
      <c r="E898">
        <v>84</v>
      </c>
      <c r="F898">
        <v>289</v>
      </c>
      <c r="G898">
        <v>131</v>
      </c>
      <c r="H898" t="str">
        <f>IF(C898&lt;=_xlfn.XLOOKUP(B898,Products!A:A,Products!I:I),"REORDER REVIEW","Stock OK")</f>
        <v>REORDER REVIEW</v>
      </c>
    </row>
    <row r="899" spans="1:8">
      <c r="A899" s="2">
        <v>45931</v>
      </c>
      <c r="B899" t="s">
        <v>218</v>
      </c>
      <c r="C899">
        <v>0</v>
      </c>
      <c r="D899">
        <v>200</v>
      </c>
      <c r="E899">
        <v>542</v>
      </c>
      <c r="F899">
        <v>289</v>
      </c>
      <c r="G899">
        <v>131</v>
      </c>
      <c r="H899" t="str">
        <f>IF(C899&lt;=_xlfn.XLOOKUP(B899,Products!A:A,Products!I:I),"REORDER REVIEW","Stock OK")</f>
        <v>REORDER REVIEW</v>
      </c>
    </row>
    <row r="900" spans="1:8">
      <c r="A900" s="2">
        <v>45962</v>
      </c>
      <c r="B900" t="s">
        <v>218</v>
      </c>
      <c r="C900">
        <v>0</v>
      </c>
      <c r="D900">
        <v>0</v>
      </c>
      <c r="E900">
        <v>620</v>
      </c>
      <c r="F900">
        <v>289</v>
      </c>
      <c r="G900">
        <v>131</v>
      </c>
      <c r="H900" t="str">
        <f>IF(C900&lt;=_xlfn.XLOOKUP(B900,Products!A:A,Products!I:I),"REORDER REVIEW","Stock OK")</f>
        <v>REORDER REVIEW</v>
      </c>
    </row>
    <row r="901" spans="1:8">
      <c r="A901" s="2">
        <v>45992</v>
      </c>
      <c r="B901" t="s">
        <v>218</v>
      </c>
      <c r="C901">
        <v>0</v>
      </c>
      <c r="D901">
        <v>100</v>
      </c>
      <c r="E901">
        <v>548</v>
      </c>
      <c r="F901">
        <v>289</v>
      </c>
      <c r="G901">
        <v>131</v>
      </c>
      <c r="H901" t="str">
        <f>IF(C901&lt;=_xlfn.XLOOKUP(B901,Products!A:A,Products!I:I),"REORDER REVIEW","Stock OK")</f>
        <v>REORDER REVIEW</v>
      </c>
    </row>
    <row r="902" spans="1:8">
      <c r="A902" s="2">
        <v>45658</v>
      </c>
      <c r="B902" t="s">
        <v>220</v>
      </c>
      <c r="C902">
        <v>21</v>
      </c>
      <c r="D902">
        <v>100</v>
      </c>
      <c r="E902">
        <v>677</v>
      </c>
      <c r="F902">
        <v>612</v>
      </c>
      <c r="G902">
        <v>143</v>
      </c>
      <c r="H902" t="str">
        <f>IF(C902&lt;=_xlfn.XLOOKUP(B902,Products!A:A,Products!I:I),"REORDER REVIEW","Stock OK")</f>
        <v>REORDER REVIEW</v>
      </c>
    </row>
    <row r="903" spans="1:8">
      <c r="A903" s="2">
        <v>45689</v>
      </c>
      <c r="B903" t="s">
        <v>220</v>
      </c>
      <c r="C903">
        <v>0</v>
      </c>
      <c r="D903">
        <v>50</v>
      </c>
      <c r="E903">
        <v>827</v>
      </c>
      <c r="F903">
        <v>612</v>
      </c>
      <c r="G903">
        <v>143</v>
      </c>
      <c r="H903" t="str">
        <f>IF(C903&lt;=_xlfn.XLOOKUP(B903,Products!A:A,Products!I:I),"REORDER REVIEW","Stock OK")</f>
        <v>REORDER REVIEW</v>
      </c>
    </row>
    <row r="904" spans="1:8">
      <c r="A904" s="2">
        <v>45717</v>
      </c>
      <c r="B904" t="s">
        <v>220</v>
      </c>
      <c r="C904">
        <v>0</v>
      </c>
      <c r="D904">
        <v>200</v>
      </c>
      <c r="E904">
        <v>934</v>
      </c>
      <c r="F904">
        <v>612</v>
      </c>
      <c r="G904">
        <v>143</v>
      </c>
      <c r="H904" t="str">
        <f>IF(C904&lt;=_xlfn.XLOOKUP(B904,Products!A:A,Products!I:I),"REORDER REVIEW","Stock OK")</f>
        <v>REORDER REVIEW</v>
      </c>
    </row>
    <row r="905" spans="1:8">
      <c r="A905" s="2">
        <v>45748</v>
      </c>
      <c r="B905" t="s">
        <v>220</v>
      </c>
      <c r="C905">
        <v>0</v>
      </c>
      <c r="D905">
        <v>0</v>
      </c>
      <c r="E905">
        <v>408</v>
      </c>
      <c r="F905">
        <v>612</v>
      </c>
      <c r="G905">
        <v>143</v>
      </c>
      <c r="H905" t="str">
        <f>IF(C905&lt;=_xlfn.XLOOKUP(B905,Products!A:A,Products!I:I),"REORDER REVIEW","Stock OK")</f>
        <v>REORDER REVIEW</v>
      </c>
    </row>
    <row r="906" spans="1:8">
      <c r="A906" s="2">
        <v>45778</v>
      </c>
      <c r="B906" t="s">
        <v>220</v>
      </c>
      <c r="C906">
        <v>0</v>
      </c>
      <c r="D906">
        <v>200</v>
      </c>
      <c r="E906">
        <v>885</v>
      </c>
      <c r="F906">
        <v>612</v>
      </c>
      <c r="G906">
        <v>143</v>
      </c>
      <c r="H906" t="str">
        <f>IF(C906&lt;=_xlfn.XLOOKUP(B906,Products!A:A,Products!I:I),"REORDER REVIEW","Stock OK")</f>
        <v>REORDER REVIEW</v>
      </c>
    </row>
    <row r="907" spans="1:8">
      <c r="A907" s="2">
        <v>45809</v>
      </c>
      <c r="B907" t="s">
        <v>220</v>
      </c>
      <c r="C907">
        <v>0</v>
      </c>
      <c r="D907">
        <v>50</v>
      </c>
      <c r="E907">
        <v>567</v>
      </c>
      <c r="F907">
        <v>612</v>
      </c>
      <c r="G907">
        <v>143</v>
      </c>
      <c r="H907" t="str">
        <f>IF(C907&lt;=_xlfn.XLOOKUP(B907,Products!A:A,Products!I:I),"REORDER REVIEW","Stock OK")</f>
        <v>REORDER REVIEW</v>
      </c>
    </row>
    <row r="908" spans="1:8">
      <c r="A908" s="2">
        <v>45839</v>
      </c>
      <c r="B908" t="s">
        <v>220</v>
      </c>
      <c r="C908">
        <v>0</v>
      </c>
      <c r="D908">
        <v>200</v>
      </c>
      <c r="E908">
        <v>854</v>
      </c>
      <c r="F908">
        <v>612</v>
      </c>
      <c r="G908">
        <v>143</v>
      </c>
      <c r="H908" t="str">
        <f>IF(C908&lt;=_xlfn.XLOOKUP(B908,Products!A:A,Products!I:I),"REORDER REVIEW","Stock OK")</f>
        <v>REORDER REVIEW</v>
      </c>
    </row>
    <row r="909" spans="1:8">
      <c r="A909" s="2">
        <v>45870</v>
      </c>
      <c r="B909" t="s">
        <v>220</v>
      </c>
      <c r="C909">
        <v>0</v>
      </c>
      <c r="D909">
        <v>200</v>
      </c>
      <c r="E909">
        <v>604</v>
      </c>
      <c r="F909">
        <v>612</v>
      </c>
      <c r="G909">
        <v>143</v>
      </c>
      <c r="H909" t="str">
        <f>IF(C909&lt;=_xlfn.XLOOKUP(B909,Products!A:A,Products!I:I),"REORDER REVIEW","Stock OK")</f>
        <v>REORDER REVIEW</v>
      </c>
    </row>
    <row r="910" spans="1:8">
      <c r="A910" s="2">
        <v>45901</v>
      </c>
      <c r="B910" t="s">
        <v>220</v>
      </c>
      <c r="C910">
        <v>0</v>
      </c>
      <c r="D910">
        <v>200</v>
      </c>
      <c r="E910">
        <v>622</v>
      </c>
      <c r="F910">
        <v>612</v>
      </c>
      <c r="G910">
        <v>143</v>
      </c>
      <c r="H910" t="str">
        <f>IF(C910&lt;=_xlfn.XLOOKUP(B910,Products!A:A,Products!I:I),"REORDER REVIEW","Stock OK")</f>
        <v>REORDER REVIEW</v>
      </c>
    </row>
    <row r="911" spans="1:8">
      <c r="A911" s="2">
        <v>45931</v>
      </c>
      <c r="B911" t="s">
        <v>220</v>
      </c>
      <c r="C911">
        <v>0</v>
      </c>
      <c r="D911">
        <v>200</v>
      </c>
      <c r="E911">
        <v>419</v>
      </c>
      <c r="F911">
        <v>612</v>
      </c>
      <c r="G911">
        <v>143</v>
      </c>
      <c r="H911" t="str">
        <f>IF(C911&lt;=_xlfn.XLOOKUP(B911,Products!A:A,Products!I:I),"REORDER REVIEW","Stock OK")</f>
        <v>REORDER REVIEW</v>
      </c>
    </row>
    <row r="912" spans="1:8">
      <c r="A912" s="2">
        <v>45962</v>
      </c>
      <c r="B912" t="s">
        <v>220</v>
      </c>
      <c r="C912">
        <v>0</v>
      </c>
      <c r="D912">
        <v>0</v>
      </c>
      <c r="E912">
        <v>711</v>
      </c>
      <c r="F912">
        <v>612</v>
      </c>
      <c r="G912">
        <v>143</v>
      </c>
      <c r="H912" t="str">
        <f>IF(C912&lt;=_xlfn.XLOOKUP(B912,Products!A:A,Products!I:I),"REORDER REVIEW","Stock OK")</f>
        <v>REORDER REVIEW</v>
      </c>
    </row>
    <row r="913" spans="1:8">
      <c r="A913" s="2">
        <v>45992</v>
      </c>
      <c r="B913" t="s">
        <v>220</v>
      </c>
      <c r="C913">
        <v>0</v>
      </c>
      <c r="D913">
        <v>0</v>
      </c>
      <c r="E913">
        <v>305</v>
      </c>
      <c r="F913">
        <v>612</v>
      </c>
      <c r="G913">
        <v>143</v>
      </c>
      <c r="H913" t="str">
        <f>IF(C913&lt;=_xlfn.XLOOKUP(B913,Products!A:A,Products!I:I),"REORDER REVIEW","Stock OK")</f>
        <v>REORDER REVIEW</v>
      </c>
    </row>
    <row r="914" spans="1:8">
      <c r="A914" s="2">
        <v>45658</v>
      </c>
      <c r="B914" t="s">
        <v>222</v>
      </c>
      <c r="C914">
        <v>256</v>
      </c>
      <c r="D914">
        <v>0</v>
      </c>
      <c r="E914">
        <v>515</v>
      </c>
      <c r="F914">
        <v>292</v>
      </c>
      <c r="G914">
        <v>131</v>
      </c>
      <c r="H914" t="str">
        <f>IF(C914&lt;=_xlfn.XLOOKUP(B914,Products!A:A,Products!I:I),"REORDER REVIEW","Stock OK")</f>
        <v>REORDER REVIEW</v>
      </c>
    </row>
    <row r="915" spans="1:8">
      <c r="A915" s="2">
        <v>45689</v>
      </c>
      <c r="B915" t="s">
        <v>222</v>
      </c>
      <c r="C915">
        <v>0</v>
      </c>
      <c r="D915">
        <v>100</v>
      </c>
      <c r="E915">
        <v>927</v>
      </c>
      <c r="F915">
        <v>292</v>
      </c>
      <c r="G915">
        <v>131</v>
      </c>
      <c r="H915" t="str">
        <f>IF(C915&lt;=_xlfn.XLOOKUP(B915,Products!A:A,Products!I:I),"REORDER REVIEW","Stock OK")</f>
        <v>REORDER REVIEW</v>
      </c>
    </row>
    <row r="916" spans="1:8">
      <c r="A916" s="2">
        <v>45717</v>
      </c>
      <c r="B916" t="s">
        <v>222</v>
      </c>
      <c r="C916">
        <v>0</v>
      </c>
      <c r="D916">
        <v>0</v>
      </c>
      <c r="E916">
        <v>715</v>
      </c>
      <c r="F916">
        <v>292</v>
      </c>
      <c r="G916">
        <v>131</v>
      </c>
      <c r="H916" t="str">
        <f>IF(C916&lt;=_xlfn.XLOOKUP(B916,Products!A:A,Products!I:I),"REORDER REVIEW","Stock OK")</f>
        <v>REORDER REVIEW</v>
      </c>
    </row>
    <row r="917" spans="1:8">
      <c r="A917" s="2">
        <v>45748</v>
      </c>
      <c r="B917" t="s">
        <v>222</v>
      </c>
      <c r="C917">
        <v>0</v>
      </c>
      <c r="D917">
        <v>0</v>
      </c>
      <c r="E917">
        <v>512</v>
      </c>
      <c r="F917">
        <v>292</v>
      </c>
      <c r="G917">
        <v>131</v>
      </c>
      <c r="H917" t="str">
        <f>IF(C917&lt;=_xlfn.XLOOKUP(B917,Products!A:A,Products!I:I),"REORDER REVIEW","Stock OK")</f>
        <v>REORDER REVIEW</v>
      </c>
    </row>
    <row r="918" spans="1:8">
      <c r="A918" s="2">
        <v>45778</v>
      </c>
      <c r="B918" t="s">
        <v>222</v>
      </c>
      <c r="C918">
        <v>0</v>
      </c>
      <c r="D918">
        <v>100</v>
      </c>
      <c r="E918">
        <v>822</v>
      </c>
      <c r="F918">
        <v>292</v>
      </c>
      <c r="G918">
        <v>131</v>
      </c>
      <c r="H918" t="str">
        <f>IF(C918&lt;=_xlfn.XLOOKUP(B918,Products!A:A,Products!I:I),"REORDER REVIEW","Stock OK")</f>
        <v>REORDER REVIEW</v>
      </c>
    </row>
    <row r="919" spans="1:8">
      <c r="A919" s="2">
        <v>45809</v>
      </c>
      <c r="B919" t="s">
        <v>222</v>
      </c>
      <c r="C919">
        <v>0</v>
      </c>
      <c r="D919">
        <v>0</v>
      </c>
      <c r="E919">
        <v>814</v>
      </c>
      <c r="F919">
        <v>292</v>
      </c>
      <c r="G919">
        <v>131</v>
      </c>
      <c r="H919" t="str">
        <f>IF(C919&lt;=_xlfn.XLOOKUP(B919,Products!A:A,Products!I:I),"REORDER REVIEW","Stock OK")</f>
        <v>REORDER REVIEW</v>
      </c>
    </row>
    <row r="920" spans="1:8">
      <c r="A920" s="2">
        <v>45839</v>
      </c>
      <c r="B920" t="s">
        <v>222</v>
      </c>
      <c r="C920">
        <v>0</v>
      </c>
      <c r="D920">
        <v>0</v>
      </c>
      <c r="E920">
        <v>616</v>
      </c>
      <c r="F920">
        <v>292</v>
      </c>
      <c r="G920">
        <v>131</v>
      </c>
      <c r="H920" t="str">
        <f>IF(C920&lt;=_xlfn.XLOOKUP(B920,Products!A:A,Products!I:I),"REORDER REVIEW","Stock OK")</f>
        <v>REORDER REVIEW</v>
      </c>
    </row>
    <row r="921" spans="1:8">
      <c r="A921" s="2">
        <v>45870</v>
      </c>
      <c r="B921" t="s">
        <v>222</v>
      </c>
      <c r="C921">
        <v>0</v>
      </c>
      <c r="D921">
        <v>0</v>
      </c>
      <c r="E921">
        <v>468</v>
      </c>
      <c r="F921">
        <v>292</v>
      </c>
      <c r="G921">
        <v>131</v>
      </c>
      <c r="H921" t="str">
        <f>IF(C921&lt;=_xlfn.XLOOKUP(B921,Products!A:A,Products!I:I),"REORDER REVIEW","Stock OK")</f>
        <v>REORDER REVIEW</v>
      </c>
    </row>
    <row r="922" spans="1:8">
      <c r="A922" s="2">
        <v>45901</v>
      </c>
      <c r="B922" t="s">
        <v>222</v>
      </c>
      <c r="C922">
        <v>0</v>
      </c>
      <c r="D922">
        <v>0</v>
      </c>
      <c r="E922">
        <v>775</v>
      </c>
      <c r="F922">
        <v>292</v>
      </c>
      <c r="G922">
        <v>131</v>
      </c>
      <c r="H922" t="str">
        <f>IF(C922&lt;=_xlfn.XLOOKUP(B922,Products!A:A,Products!I:I),"REORDER REVIEW","Stock OK")</f>
        <v>REORDER REVIEW</v>
      </c>
    </row>
    <row r="923" spans="1:8">
      <c r="A923" s="2">
        <v>45931</v>
      </c>
      <c r="B923" t="s">
        <v>222</v>
      </c>
      <c r="C923">
        <v>0</v>
      </c>
      <c r="D923">
        <v>200</v>
      </c>
      <c r="E923">
        <v>740</v>
      </c>
      <c r="F923">
        <v>292</v>
      </c>
      <c r="G923">
        <v>131</v>
      </c>
      <c r="H923" t="str">
        <f>IF(C923&lt;=_xlfn.XLOOKUP(B923,Products!A:A,Products!I:I),"REORDER REVIEW","Stock OK")</f>
        <v>REORDER REVIEW</v>
      </c>
    </row>
    <row r="924" spans="1:8">
      <c r="A924" s="2">
        <v>45962</v>
      </c>
      <c r="B924" t="s">
        <v>222</v>
      </c>
      <c r="C924">
        <v>0</v>
      </c>
      <c r="D924">
        <v>0</v>
      </c>
      <c r="E924">
        <v>934</v>
      </c>
      <c r="F924">
        <v>292</v>
      </c>
      <c r="G924">
        <v>131</v>
      </c>
      <c r="H924" t="str">
        <f>IF(C924&lt;=_xlfn.XLOOKUP(B924,Products!A:A,Products!I:I),"REORDER REVIEW","Stock OK")</f>
        <v>REORDER REVIEW</v>
      </c>
    </row>
    <row r="925" spans="1:8">
      <c r="A925" s="2">
        <v>45992</v>
      </c>
      <c r="B925" t="s">
        <v>222</v>
      </c>
      <c r="C925">
        <v>0</v>
      </c>
      <c r="D925">
        <v>0</v>
      </c>
      <c r="E925">
        <v>1017</v>
      </c>
      <c r="F925">
        <v>292</v>
      </c>
      <c r="G925">
        <v>131</v>
      </c>
      <c r="H925" t="str">
        <f>IF(C925&lt;=_xlfn.XLOOKUP(B925,Products!A:A,Products!I:I),"REORDER REVIEW","Stock OK")</f>
        <v>REORDER REVIEW</v>
      </c>
    </row>
    <row r="926" spans="1:8">
      <c r="A926" s="2">
        <v>45658</v>
      </c>
      <c r="B926" t="s">
        <v>224</v>
      </c>
      <c r="C926">
        <v>413</v>
      </c>
      <c r="D926">
        <v>100</v>
      </c>
      <c r="E926">
        <v>437</v>
      </c>
      <c r="F926">
        <v>394</v>
      </c>
      <c r="G926">
        <v>36</v>
      </c>
      <c r="H926" t="str">
        <f>IF(C926&lt;=_xlfn.XLOOKUP(B926,Products!A:A,Products!I:I),"REORDER REVIEW","Stock OK")</f>
        <v>Stock OK</v>
      </c>
    </row>
    <row r="927" spans="1:8">
      <c r="A927" s="2">
        <v>45689</v>
      </c>
      <c r="B927" t="s">
        <v>224</v>
      </c>
      <c r="C927">
        <v>202</v>
      </c>
      <c r="D927">
        <v>200</v>
      </c>
      <c r="E927">
        <v>311</v>
      </c>
      <c r="F927">
        <v>394</v>
      </c>
      <c r="G927">
        <v>36</v>
      </c>
      <c r="H927" t="str">
        <f>IF(C927&lt;=_xlfn.XLOOKUP(B927,Products!A:A,Products!I:I),"REORDER REVIEW","Stock OK")</f>
        <v>REORDER REVIEW</v>
      </c>
    </row>
    <row r="928" spans="1:8">
      <c r="A928" s="2">
        <v>45717</v>
      </c>
      <c r="B928" t="s">
        <v>224</v>
      </c>
      <c r="C928">
        <v>97</v>
      </c>
      <c r="D928">
        <v>0</v>
      </c>
      <c r="E928">
        <v>405</v>
      </c>
      <c r="F928">
        <v>394</v>
      </c>
      <c r="G928">
        <v>36</v>
      </c>
      <c r="H928" t="str">
        <f>IF(C928&lt;=_xlfn.XLOOKUP(B928,Products!A:A,Products!I:I),"REORDER REVIEW","Stock OK")</f>
        <v>REORDER REVIEW</v>
      </c>
    </row>
    <row r="929" spans="1:8">
      <c r="A929" s="2">
        <v>45748</v>
      </c>
      <c r="B929" t="s">
        <v>224</v>
      </c>
      <c r="C929">
        <v>191</v>
      </c>
      <c r="D929">
        <v>200</v>
      </c>
      <c r="E929">
        <v>106</v>
      </c>
      <c r="F929">
        <v>394</v>
      </c>
      <c r="G929">
        <v>36</v>
      </c>
      <c r="H929" t="str">
        <f>IF(C929&lt;=_xlfn.XLOOKUP(B929,Products!A:A,Products!I:I),"REORDER REVIEW","Stock OK")</f>
        <v>REORDER REVIEW</v>
      </c>
    </row>
    <row r="930" spans="1:8">
      <c r="A930" s="2">
        <v>45778</v>
      </c>
      <c r="B930" t="s">
        <v>224</v>
      </c>
      <c r="C930">
        <v>0</v>
      </c>
      <c r="D930">
        <v>0</v>
      </c>
      <c r="E930">
        <v>360</v>
      </c>
      <c r="F930">
        <v>394</v>
      </c>
      <c r="G930">
        <v>36</v>
      </c>
      <c r="H930" t="str">
        <f>IF(C930&lt;=_xlfn.XLOOKUP(B930,Products!A:A,Products!I:I),"REORDER REVIEW","Stock OK")</f>
        <v>REORDER REVIEW</v>
      </c>
    </row>
    <row r="931" spans="1:8">
      <c r="A931" s="2">
        <v>45809</v>
      </c>
      <c r="B931" t="s">
        <v>224</v>
      </c>
      <c r="C931">
        <v>0</v>
      </c>
      <c r="D931">
        <v>200</v>
      </c>
      <c r="E931">
        <v>489</v>
      </c>
      <c r="F931">
        <v>394</v>
      </c>
      <c r="G931">
        <v>36</v>
      </c>
      <c r="H931" t="str">
        <f>IF(C931&lt;=_xlfn.XLOOKUP(B931,Products!A:A,Products!I:I),"REORDER REVIEW","Stock OK")</f>
        <v>REORDER REVIEW</v>
      </c>
    </row>
    <row r="932" spans="1:8">
      <c r="A932" s="2">
        <v>45839</v>
      </c>
      <c r="B932" t="s">
        <v>224</v>
      </c>
      <c r="C932">
        <v>154</v>
      </c>
      <c r="D932">
        <v>0</v>
      </c>
      <c r="E932">
        <v>146</v>
      </c>
      <c r="F932">
        <v>394</v>
      </c>
      <c r="G932">
        <v>36</v>
      </c>
      <c r="H932" t="str">
        <f>IF(C932&lt;=_xlfn.XLOOKUP(B932,Products!A:A,Products!I:I),"REORDER REVIEW","Stock OK")</f>
        <v>REORDER REVIEW</v>
      </c>
    </row>
    <row r="933" spans="1:8">
      <c r="A933" s="2">
        <v>45870</v>
      </c>
      <c r="B933" t="s">
        <v>224</v>
      </c>
      <c r="C933">
        <v>103</v>
      </c>
      <c r="D933">
        <v>0</v>
      </c>
      <c r="E933">
        <v>351</v>
      </c>
      <c r="F933">
        <v>394</v>
      </c>
      <c r="G933">
        <v>36</v>
      </c>
      <c r="H933" t="str">
        <f>IF(C933&lt;=_xlfn.XLOOKUP(B933,Products!A:A,Products!I:I),"REORDER REVIEW","Stock OK")</f>
        <v>REORDER REVIEW</v>
      </c>
    </row>
    <row r="934" spans="1:8">
      <c r="A934" s="2">
        <v>45901</v>
      </c>
      <c r="B934" t="s">
        <v>224</v>
      </c>
      <c r="C934">
        <v>0</v>
      </c>
      <c r="D934">
        <v>0</v>
      </c>
      <c r="E934">
        <v>319</v>
      </c>
      <c r="F934">
        <v>394</v>
      </c>
      <c r="G934">
        <v>36</v>
      </c>
      <c r="H934" t="str">
        <f>IF(C934&lt;=_xlfn.XLOOKUP(B934,Products!A:A,Products!I:I),"REORDER REVIEW","Stock OK")</f>
        <v>REORDER REVIEW</v>
      </c>
    </row>
    <row r="935" spans="1:8">
      <c r="A935" s="2">
        <v>45931</v>
      </c>
      <c r="B935" t="s">
        <v>224</v>
      </c>
      <c r="C935">
        <v>0</v>
      </c>
      <c r="D935">
        <v>200</v>
      </c>
      <c r="E935">
        <v>408</v>
      </c>
      <c r="F935">
        <v>394</v>
      </c>
      <c r="G935">
        <v>36</v>
      </c>
      <c r="H935" t="str">
        <f>IF(C935&lt;=_xlfn.XLOOKUP(B935,Products!A:A,Products!I:I),"REORDER REVIEW","Stock OK")</f>
        <v>REORDER REVIEW</v>
      </c>
    </row>
    <row r="936" spans="1:8">
      <c r="A936" s="2">
        <v>45962</v>
      </c>
      <c r="B936" t="s">
        <v>224</v>
      </c>
      <c r="C936">
        <v>0</v>
      </c>
      <c r="D936">
        <v>50</v>
      </c>
      <c r="E936">
        <v>349</v>
      </c>
      <c r="F936">
        <v>394</v>
      </c>
      <c r="G936">
        <v>36</v>
      </c>
      <c r="H936" t="str">
        <f>IF(C936&lt;=_xlfn.XLOOKUP(B936,Products!A:A,Products!I:I),"REORDER REVIEW","Stock OK")</f>
        <v>REORDER REVIEW</v>
      </c>
    </row>
    <row r="937" spans="1:8">
      <c r="A937" s="2">
        <v>45992</v>
      </c>
      <c r="B937" t="s">
        <v>224</v>
      </c>
      <c r="C937">
        <v>0</v>
      </c>
      <c r="D937">
        <v>100</v>
      </c>
      <c r="E937">
        <v>183</v>
      </c>
      <c r="F937">
        <v>394</v>
      </c>
      <c r="G937">
        <v>36</v>
      </c>
      <c r="H937" t="str">
        <f>IF(C937&lt;=_xlfn.XLOOKUP(B937,Products!A:A,Products!I:I),"REORDER REVIEW","Stock OK")</f>
        <v>REORDER REVIEW</v>
      </c>
    </row>
    <row r="938" spans="1:8">
      <c r="A938" s="2">
        <v>45658</v>
      </c>
      <c r="B938" t="s">
        <v>226</v>
      </c>
      <c r="C938">
        <v>489</v>
      </c>
      <c r="D938">
        <v>0</v>
      </c>
      <c r="E938">
        <v>266</v>
      </c>
      <c r="F938">
        <v>260</v>
      </c>
      <c r="G938">
        <v>158</v>
      </c>
      <c r="H938" t="str">
        <f>IF(C938&lt;=_xlfn.XLOOKUP(B938,Products!A:A,Products!I:I),"REORDER REVIEW","Stock OK")</f>
        <v>Stock OK</v>
      </c>
    </row>
    <row r="939" spans="1:8">
      <c r="A939" s="2">
        <v>45689</v>
      </c>
      <c r="B939" t="s">
        <v>226</v>
      </c>
      <c r="C939">
        <v>418</v>
      </c>
      <c r="D939">
        <v>0</v>
      </c>
      <c r="E939">
        <v>371</v>
      </c>
      <c r="F939">
        <v>260</v>
      </c>
      <c r="G939">
        <v>158</v>
      </c>
      <c r="H939" t="str">
        <f>IF(C939&lt;=_xlfn.XLOOKUP(B939,Products!A:A,Products!I:I),"REORDER REVIEW","Stock OK")</f>
        <v>Stock OK</v>
      </c>
    </row>
    <row r="940" spans="1:8">
      <c r="A940" s="2">
        <v>45717</v>
      </c>
      <c r="B940" t="s">
        <v>226</v>
      </c>
      <c r="C940">
        <v>199</v>
      </c>
      <c r="D940">
        <v>0</v>
      </c>
      <c r="E940">
        <v>219</v>
      </c>
      <c r="F940">
        <v>260</v>
      </c>
      <c r="G940">
        <v>158</v>
      </c>
      <c r="H940" t="str">
        <f>IF(C940&lt;=_xlfn.XLOOKUP(B940,Products!A:A,Products!I:I),"REORDER REVIEW","Stock OK")</f>
        <v>REORDER REVIEW</v>
      </c>
    </row>
    <row r="941" spans="1:8">
      <c r="A941" s="2">
        <v>45748</v>
      </c>
      <c r="B941" t="s">
        <v>226</v>
      </c>
      <c r="C941">
        <v>0</v>
      </c>
      <c r="D941">
        <v>200</v>
      </c>
      <c r="E941">
        <v>330</v>
      </c>
      <c r="F941">
        <v>260</v>
      </c>
      <c r="G941">
        <v>158</v>
      </c>
      <c r="H941" t="str">
        <f>IF(C941&lt;=_xlfn.XLOOKUP(B941,Products!A:A,Products!I:I),"REORDER REVIEW","Stock OK")</f>
        <v>REORDER REVIEW</v>
      </c>
    </row>
    <row r="942" spans="1:8">
      <c r="A942" s="2">
        <v>45778</v>
      </c>
      <c r="B942" t="s">
        <v>226</v>
      </c>
      <c r="C942">
        <v>0</v>
      </c>
      <c r="D942">
        <v>200</v>
      </c>
      <c r="E942">
        <v>347</v>
      </c>
      <c r="F942">
        <v>260</v>
      </c>
      <c r="G942">
        <v>158</v>
      </c>
      <c r="H942" t="str">
        <f>IF(C942&lt;=_xlfn.XLOOKUP(B942,Products!A:A,Products!I:I),"REORDER REVIEW","Stock OK")</f>
        <v>REORDER REVIEW</v>
      </c>
    </row>
    <row r="943" spans="1:8">
      <c r="A943" s="2">
        <v>45809</v>
      </c>
      <c r="B943" t="s">
        <v>226</v>
      </c>
      <c r="C943">
        <v>0</v>
      </c>
      <c r="D943">
        <v>0</v>
      </c>
      <c r="E943">
        <v>476</v>
      </c>
      <c r="F943">
        <v>260</v>
      </c>
      <c r="G943">
        <v>158</v>
      </c>
      <c r="H943" t="str">
        <f>IF(C943&lt;=_xlfn.XLOOKUP(B943,Products!A:A,Products!I:I),"REORDER REVIEW","Stock OK")</f>
        <v>REORDER REVIEW</v>
      </c>
    </row>
    <row r="944" spans="1:8">
      <c r="A944" s="2">
        <v>45839</v>
      </c>
      <c r="B944" t="s">
        <v>226</v>
      </c>
      <c r="C944">
        <v>0</v>
      </c>
      <c r="D944">
        <v>50</v>
      </c>
      <c r="E944">
        <v>291</v>
      </c>
      <c r="F944">
        <v>260</v>
      </c>
      <c r="G944">
        <v>158</v>
      </c>
      <c r="H944" t="str">
        <f>IF(C944&lt;=_xlfn.XLOOKUP(B944,Products!A:A,Products!I:I),"REORDER REVIEW","Stock OK")</f>
        <v>REORDER REVIEW</v>
      </c>
    </row>
    <row r="945" spans="1:8">
      <c r="A945" s="2">
        <v>45870</v>
      </c>
      <c r="B945" t="s">
        <v>226</v>
      </c>
      <c r="C945">
        <v>0</v>
      </c>
      <c r="D945">
        <v>0</v>
      </c>
      <c r="E945">
        <v>233</v>
      </c>
      <c r="F945">
        <v>260</v>
      </c>
      <c r="G945">
        <v>158</v>
      </c>
      <c r="H945" t="str">
        <f>IF(C945&lt;=_xlfn.XLOOKUP(B945,Products!A:A,Products!I:I),"REORDER REVIEW","Stock OK")</f>
        <v>REORDER REVIEW</v>
      </c>
    </row>
    <row r="946" spans="1:8">
      <c r="A946" s="2">
        <v>45901</v>
      </c>
      <c r="B946" t="s">
        <v>226</v>
      </c>
      <c r="C946">
        <v>0</v>
      </c>
      <c r="D946">
        <v>200</v>
      </c>
      <c r="E946">
        <v>433</v>
      </c>
      <c r="F946">
        <v>260</v>
      </c>
      <c r="G946">
        <v>158</v>
      </c>
      <c r="H946" t="str">
        <f>IF(C946&lt;=_xlfn.XLOOKUP(B946,Products!A:A,Products!I:I),"REORDER REVIEW","Stock OK")</f>
        <v>REORDER REVIEW</v>
      </c>
    </row>
    <row r="947" spans="1:8">
      <c r="A947" s="2">
        <v>45931</v>
      </c>
      <c r="B947" t="s">
        <v>226</v>
      </c>
      <c r="C947">
        <v>109</v>
      </c>
      <c r="D947">
        <v>100</v>
      </c>
      <c r="E947">
        <v>191</v>
      </c>
      <c r="F947">
        <v>260</v>
      </c>
      <c r="G947">
        <v>158</v>
      </c>
      <c r="H947" t="str">
        <f>IF(C947&lt;=_xlfn.XLOOKUP(B947,Products!A:A,Products!I:I),"REORDER REVIEW","Stock OK")</f>
        <v>REORDER REVIEW</v>
      </c>
    </row>
    <row r="948" spans="1:8">
      <c r="A948" s="2">
        <v>45962</v>
      </c>
      <c r="B948" t="s">
        <v>226</v>
      </c>
      <c r="C948">
        <v>0</v>
      </c>
      <c r="D948">
        <v>50</v>
      </c>
      <c r="E948">
        <v>265</v>
      </c>
      <c r="F948">
        <v>260</v>
      </c>
      <c r="G948">
        <v>158</v>
      </c>
      <c r="H948" t="str">
        <f>IF(C948&lt;=_xlfn.XLOOKUP(B948,Products!A:A,Products!I:I),"REORDER REVIEW","Stock OK")</f>
        <v>REORDER REVIEW</v>
      </c>
    </row>
    <row r="949" spans="1:8">
      <c r="A949" s="2">
        <v>45992</v>
      </c>
      <c r="B949" t="s">
        <v>226</v>
      </c>
      <c r="C949">
        <v>0</v>
      </c>
      <c r="D949">
        <v>0</v>
      </c>
      <c r="E949">
        <v>180</v>
      </c>
      <c r="F949">
        <v>260</v>
      </c>
      <c r="G949">
        <v>158</v>
      </c>
      <c r="H949" t="str">
        <f>IF(C949&lt;=_xlfn.XLOOKUP(B949,Products!A:A,Products!I:I),"REORDER REVIEW","Stock OK")</f>
        <v>REORDER REVIEW</v>
      </c>
    </row>
    <row r="950" spans="1:8">
      <c r="A950" s="2">
        <v>45658</v>
      </c>
      <c r="B950" t="s">
        <v>228</v>
      </c>
      <c r="C950">
        <v>0</v>
      </c>
      <c r="D950">
        <v>100</v>
      </c>
      <c r="E950">
        <v>302</v>
      </c>
      <c r="F950">
        <v>339</v>
      </c>
      <c r="G950">
        <v>83</v>
      </c>
      <c r="H950" t="str">
        <f>IF(C950&lt;=_xlfn.XLOOKUP(B950,Products!A:A,Products!I:I),"REORDER REVIEW","Stock OK")</f>
        <v>REORDER REVIEW</v>
      </c>
    </row>
    <row r="951" spans="1:8">
      <c r="A951" s="2">
        <v>45689</v>
      </c>
      <c r="B951" t="s">
        <v>228</v>
      </c>
      <c r="C951">
        <v>0</v>
      </c>
      <c r="D951">
        <v>50</v>
      </c>
      <c r="E951">
        <v>363</v>
      </c>
      <c r="F951">
        <v>339</v>
      </c>
      <c r="G951">
        <v>83</v>
      </c>
      <c r="H951" t="str">
        <f>IF(C951&lt;=_xlfn.XLOOKUP(B951,Products!A:A,Products!I:I),"REORDER REVIEW","Stock OK")</f>
        <v>REORDER REVIEW</v>
      </c>
    </row>
    <row r="952" spans="1:8">
      <c r="A952" s="2">
        <v>45717</v>
      </c>
      <c r="B952" t="s">
        <v>228</v>
      </c>
      <c r="C952">
        <v>0</v>
      </c>
      <c r="D952">
        <v>50</v>
      </c>
      <c r="E952">
        <v>183</v>
      </c>
      <c r="F952">
        <v>339</v>
      </c>
      <c r="G952">
        <v>83</v>
      </c>
      <c r="H952" t="str">
        <f>IF(C952&lt;=_xlfn.XLOOKUP(B952,Products!A:A,Products!I:I),"REORDER REVIEW","Stock OK")</f>
        <v>REORDER REVIEW</v>
      </c>
    </row>
    <row r="953" spans="1:8">
      <c r="A953" s="2">
        <v>45748</v>
      </c>
      <c r="B953" t="s">
        <v>228</v>
      </c>
      <c r="C953">
        <v>0</v>
      </c>
      <c r="D953">
        <v>0</v>
      </c>
      <c r="E953">
        <v>362</v>
      </c>
      <c r="F953">
        <v>339</v>
      </c>
      <c r="G953">
        <v>83</v>
      </c>
      <c r="H953" t="str">
        <f>IF(C953&lt;=_xlfn.XLOOKUP(B953,Products!A:A,Products!I:I),"REORDER REVIEW","Stock OK")</f>
        <v>REORDER REVIEW</v>
      </c>
    </row>
    <row r="954" spans="1:8">
      <c r="A954" s="2">
        <v>45778</v>
      </c>
      <c r="B954" t="s">
        <v>228</v>
      </c>
      <c r="C954">
        <v>0</v>
      </c>
      <c r="D954">
        <v>0</v>
      </c>
      <c r="E954">
        <v>264</v>
      </c>
      <c r="F954">
        <v>339</v>
      </c>
      <c r="G954">
        <v>83</v>
      </c>
      <c r="H954" t="str">
        <f>IF(C954&lt;=_xlfn.XLOOKUP(B954,Products!A:A,Products!I:I),"REORDER REVIEW","Stock OK")</f>
        <v>REORDER REVIEW</v>
      </c>
    </row>
    <row r="955" spans="1:8">
      <c r="A955" s="2">
        <v>45809</v>
      </c>
      <c r="B955" t="s">
        <v>228</v>
      </c>
      <c r="C955">
        <v>0</v>
      </c>
      <c r="D955">
        <v>200</v>
      </c>
      <c r="E955">
        <v>206</v>
      </c>
      <c r="F955">
        <v>339</v>
      </c>
      <c r="G955">
        <v>83</v>
      </c>
      <c r="H955" t="str">
        <f>IF(C955&lt;=_xlfn.XLOOKUP(B955,Products!A:A,Products!I:I),"REORDER REVIEW","Stock OK")</f>
        <v>REORDER REVIEW</v>
      </c>
    </row>
    <row r="956" spans="1:8">
      <c r="A956" s="2">
        <v>45839</v>
      </c>
      <c r="B956" t="s">
        <v>228</v>
      </c>
      <c r="C956">
        <v>0</v>
      </c>
      <c r="D956">
        <v>0</v>
      </c>
      <c r="E956">
        <v>189</v>
      </c>
      <c r="F956">
        <v>339</v>
      </c>
      <c r="G956">
        <v>83</v>
      </c>
      <c r="H956" t="str">
        <f>IF(C956&lt;=_xlfn.XLOOKUP(B956,Products!A:A,Products!I:I),"REORDER REVIEW","Stock OK")</f>
        <v>REORDER REVIEW</v>
      </c>
    </row>
    <row r="957" spans="1:8">
      <c r="A957" s="2">
        <v>45870</v>
      </c>
      <c r="B957" t="s">
        <v>228</v>
      </c>
      <c r="C957">
        <v>0</v>
      </c>
      <c r="D957">
        <v>100</v>
      </c>
      <c r="E957">
        <v>220</v>
      </c>
      <c r="F957">
        <v>339</v>
      </c>
      <c r="G957">
        <v>83</v>
      </c>
      <c r="H957" t="str">
        <f>IF(C957&lt;=_xlfn.XLOOKUP(B957,Products!A:A,Products!I:I),"REORDER REVIEW","Stock OK")</f>
        <v>REORDER REVIEW</v>
      </c>
    </row>
    <row r="958" spans="1:8">
      <c r="A958" s="2">
        <v>45901</v>
      </c>
      <c r="B958" t="s">
        <v>228</v>
      </c>
      <c r="C958">
        <v>0</v>
      </c>
      <c r="D958">
        <v>200</v>
      </c>
      <c r="E958">
        <v>298</v>
      </c>
      <c r="F958">
        <v>339</v>
      </c>
      <c r="G958">
        <v>83</v>
      </c>
      <c r="H958" t="str">
        <f>IF(C958&lt;=_xlfn.XLOOKUP(B958,Products!A:A,Products!I:I),"REORDER REVIEW","Stock OK")</f>
        <v>REORDER REVIEW</v>
      </c>
    </row>
    <row r="959" spans="1:8">
      <c r="A959" s="2">
        <v>45931</v>
      </c>
      <c r="B959" t="s">
        <v>228</v>
      </c>
      <c r="C959">
        <v>0</v>
      </c>
      <c r="D959">
        <v>100</v>
      </c>
      <c r="E959">
        <v>312</v>
      </c>
      <c r="F959">
        <v>339</v>
      </c>
      <c r="G959">
        <v>83</v>
      </c>
      <c r="H959" t="str">
        <f>IF(C959&lt;=_xlfn.XLOOKUP(B959,Products!A:A,Products!I:I),"REORDER REVIEW","Stock OK")</f>
        <v>REORDER REVIEW</v>
      </c>
    </row>
    <row r="960" spans="1:8">
      <c r="A960" s="2">
        <v>45962</v>
      </c>
      <c r="B960" t="s">
        <v>228</v>
      </c>
      <c r="C960">
        <v>0</v>
      </c>
      <c r="D960">
        <v>0</v>
      </c>
      <c r="E960">
        <v>298</v>
      </c>
      <c r="F960">
        <v>339</v>
      </c>
      <c r="G960">
        <v>83</v>
      </c>
      <c r="H960" t="str">
        <f>IF(C960&lt;=_xlfn.XLOOKUP(B960,Products!A:A,Products!I:I),"REORDER REVIEW","Stock OK")</f>
        <v>REORDER REVIEW</v>
      </c>
    </row>
    <row r="961" spans="1:8">
      <c r="A961" s="2">
        <v>45992</v>
      </c>
      <c r="B961" t="s">
        <v>228</v>
      </c>
      <c r="C961">
        <v>0</v>
      </c>
      <c r="D961">
        <v>100</v>
      </c>
      <c r="E961">
        <v>233</v>
      </c>
      <c r="F961">
        <v>339</v>
      </c>
      <c r="G961">
        <v>83</v>
      </c>
      <c r="H961" t="str">
        <f>IF(C961&lt;=_xlfn.XLOOKUP(B961,Products!A:A,Products!I:I),"REORDER REVIEW","Stock OK")</f>
        <v>REORDER REVIEW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1"/>
  <sheetViews>
    <sheetView workbookViewId="0">
      <pane ySplit="1" topLeftCell="A1048558" activePane="bottomLeft" state="frozen"/>
      <selection/>
      <selection pane="bottomLeft" activeCell="B1048576" sqref="B1048576"/>
    </sheetView>
  </sheetViews>
  <sheetFormatPr defaultColWidth="9" defaultRowHeight="14.5" outlineLevelCol="3"/>
  <cols>
    <col min="1" max="1" width="21" customWidth="1"/>
    <col min="2" max="4" width="12" customWidth="1"/>
  </cols>
  <sheetData>
    <row r="1" ht="30" customHeight="1" spans="1:4">
      <c r="A1" s="1" t="s">
        <v>1218</v>
      </c>
      <c r="B1" s="1" t="s">
        <v>22</v>
      </c>
      <c r="C1" s="1" t="s">
        <v>1219</v>
      </c>
      <c r="D1" s="1" t="s">
        <v>1220</v>
      </c>
    </row>
    <row r="2" spans="1:4">
      <c r="A2" s="2">
        <v>45658</v>
      </c>
      <c r="B2" t="s">
        <v>65</v>
      </c>
      <c r="C2">
        <v>164</v>
      </c>
      <c r="D2">
        <v>7742.58</v>
      </c>
    </row>
    <row r="3" spans="1:4">
      <c r="A3" s="2">
        <v>45689</v>
      </c>
      <c r="B3" t="s">
        <v>65</v>
      </c>
      <c r="C3">
        <v>176</v>
      </c>
      <c r="D3">
        <v>12638.63</v>
      </c>
    </row>
    <row r="4" spans="1:4">
      <c r="A4" s="2">
        <v>45717</v>
      </c>
      <c r="B4" t="s">
        <v>65</v>
      </c>
      <c r="C4">
        <v>112</v>
      </c>
      <c r="D4">
        <v>6878.76</v>
      </c>
    </row>
    <row r="5" spans="1:4">
      <c r="A5" s="2">
        <v>45748</v>
      </c>
      <c r="B5" t="s">
        <v>65</v>
      </c>
      <c r="C5">
        <v>200</v>
      </c>
      <c r="D5">
        <v>14767.01</v>
      </c>
    </row>
    <row r="6" spans="1:4">
      <c r="A6" s="2">
        <v>45778</v>
      </c>
      <c r="B6" t="s">
        <v>65</v>
      </c>
      <c r="C6">
        <v>151</v>
      </c>
      <c r="D6">
        <v>9627.31</v>
      </c>
    </row>
    <row r="7" spans="1:4">
      <c r="A7" s="2">
        <v>45809</v>
      </c>
      <c r="B7" t="s">
        <v>65</v>
      </c>
      <c r="C7">
        <v>109</v>
      </c>
      <c r="D7">
        <v>5351.82</v>
      </c>
    </row>
    <row r="8" spans="1:4">
      <c r="A8" s="2">
        <v>45839</v>
      </c>
      <c r="B8" t="s">
        <v>65</v>
      </c>
      <c r="C8">
        <v>123</v>
      </c>
      <c r="D8">
        <v>7754</v>
      </c>
    </row>
    <row r="9" spans="1:4">
      <c r="A9" s="2">
        <v>45870</v>
      </c>
      <c r="B9" t="s">
        <v>65</v>
      </c>
      <c r="C9">
        <v>122</v>
      </c>
      <c r="D9">
        <v>8413.35</v>
      </c>
    </row>
    <row r="10" spans="1:4">
      <c r="A10" s="2">
        <v>45901</v>
      </c>
      <c r="B10" t="s">
        <v>65</v>
      </c>
      <c r="C10">
        <v>136</v>
      </c>
      <c r="D10">
        <v>9579.3</v>
      </c>
    </row>
    <row r="11" spans="1:4">
      <c r="A11" s="2">
        <v>45931</v>
      </c>
      <c r="B11" t="s">
        <v>65</v>
      </c>
      <c r="C11">
        <v>65</v>
      </c>
      <c r="D11">
        <v>3901.89</v>
      </c>
    </row>
    <row r="12" spans="1:4">
      <c r="A12" s="2">
        <v>45962</v>
      </c>
      <c r="B12" t="s">
        <v>65</v>
      </c>
      <c r="C12">
        <v>172</v>
      </c>
      <c r="D12">
        <v>12199.65</v>
      </c>
    </row>
    <row r="13" spans="1:4">
      <c r="A13" s="2">
        <v>45992</v>
      </c>
      <c r="B13" t="s">
        <v>65</v>
      </c>
      <c r="C13">
        <v>140</v>
      </c>
      <c r="D13">
        <v>7459.4</v>
      </c>
    </row>
    <row r="14" spans="1:4">
      <c r="A14" s="2">
        <v>45658</v>
      </c>
      <c r="B14" t="s">
        <v>68</v>
      </c>
      <c r="C14">
        <v>529</v>
      </c>
      <c r="D14">
        <v>55513.72</v>
      </c>
    </row>
    <row r="15" spans="1:4">
      <c r="A15" s="2">
        <v>45689</v>
      </c>
      <c r="B15" t="s">
        <v>68</v>
      </c>
      <c r="C15">
        <v>835</v>
      </c>
      <c r="D15">
        <v>76304.47</v>
      </c>
    </row>
    <row r="16" spans="1:4">
      <c r="A16" s="2">
        <v>45717</v>
      </c>
      <c r="B16" t="s">
        <v>68</v>
      </c>
      <c r="C16">
        <v>709</v>
      </c>
      <c r="D16">
        <v>80042.15</v>
      </c>
    </row>
    <row r="17" spans="1:4">
      <c r="A17" s="2">
        <v>45748</v>
      </c>
      <c r="B17" t="s">
        <v>68</v>
      </c>
      <c r="C17">
        <v>295</v>
      </c>
      <c r="D17">
        <v>29534.57</v>
      </c>
    </row>
    <row r="18" spans="1:4">
      <c r="A18" s="2">
        <v>45778</v>
      </c>
      <c r="B18" t="s">
        <v>68</v>
      </c>
      <c r="C18">
        <v>745</v>
      </c>
      <c r="D18">
        <v>63209.25</v>
      </c>
    </row>
    <row r="19" spans="1:4">
      <c r="A19" s="2">
        <v>45809</v>
      </c>
      <c r="B19" t="s">
        <v>68</v>
      </c>
      <c r="C19">
        <v>420</v>
      </c>
      <c r="D19">
        <v>45952.49</v>
      </c>
    </row>
    <row r="20" spans="1:4">
      <c r="A20" s="2">
        <v>45839</v>
      </c>
      <c r="B20" t="s">
        <v>68</v>
      </c>
      <c r="C20">
        <v>260</v>
      </c>
      <c r="D20">
        <v>24470.34</v>
      </c>
    </row>
    <row r="21" spans="1:4">
      <c r="A21" s="2">
        <v>45870</v>
      </c>
      <c r="B21" t="s">
        <v>68</v>
      </c>
      <c r="C21">
        <v>382</v>
      </c>
      <c r="D21">
        <v>32025.56</v>
      </c>
    </row>
    <row r="22" spans="1:4">
      <c r="A22" s="2">
        <v>45901</v>
      </c>
      <c r="B22" t="s">
        <v>68</v>
      </c>
      <c r="C22">
        <v>885</v>
      </c>
      <c r="D22">
        <v>100757.17</v>
      </c>
    </row>
    <row r="23" spans="1:4">
      <c r="A23" s="2">
        <v>45931</v>
      </c>
      <c r="B23" t="s">
        <v>68</v>
      </c>
      <c r="C23">
        <v>700</v>
      </c>
      <c r="D23">
        <v>56855.56</v>
      </c>
    </row>
    <row r="24" spans="1:4">
      <c r="A24" s="2">
        <v>45962</v>
      </c>
      <c r="B24" t="s">
        <v>68</v>
      </c>
      <c r="C24">
        <v>602</v>
      </c>
      <c r="D24">
        <v>47418.02</v>
      </c>
    </row>
    <row r="25" spans="1:4">
      <c r="A25" s="2">
        <v>45992</v>
      </c>
      <c r="B25" t="s">
        <v>68</v>
      </c>
      <c r="C25">
        <v>656</v>
      </c>
      <c r="D25">
        <v>52802.14</v>
      </c>
    </row>
    <row r="26" spans="1:4">
      <c r="A26" s="2">
        <v>45658</v>
      </c>
      <c r="B26" t="s">
        <v>71</v>
      </c>
      <c r="C26">
        <v>959</v>
      </c>
      <c r="D26">
        <v>115144.75</v>
      </c>
    </row>
    <row r="27" spans="1:4">
      <c r="A27" s="2">
        <v>45689</v>
      </c>
      <c r="B27" t="s">
        <v>71</v>
      </c>
      <c r="C27">
        <v>688</v>
      </c>
      <c r="D27">
        <v>99724.05</v>
      </c>
    </row>
    <row r="28" spans="1:4">
      <c r="A28" s="2">
        <v>45717</v>
      </c>
      <c r="B28" t="s">
        <v>71</v>
      </c>
      <c r="C28">
        <v>1098</v>
      </c>
      <c r="D28">
        <v>135170.27</v>
      </c>
    </row>
    <row r="29" spans="1:4">
      <c r="A29" s="2">
        <v>45748</v>
      </c>
      <c r="B29" t="s">
        <v>71</v>
      </c>
      <c r="C29">
        <v>754</v>
      </c>
      <c r="D29">
        <v>117420.59</v>
      </c>
    </row>
    <row r="30" spans="1:4">
      <c r="A30" s="2">
        <v>45778</v>
      </c>
      <c r="B30" t="s">
        <v>71</v>
      </c>
      <c r="C30">
        <v>322</v>
      </c>
      <c r="D30">
        <v>38059.93</v>
      </c>
    </row>
    <row r="31" spans="1:4">
      <c r="A31" s="2">
        <v>45809</v>
      </c>
      <c r="B31" t="s">
        <v>71</v>
      </c>
      <c r="C31">
        <v>1202</v>
      </c>
      <c r="D31">
        <v>160111.91</v>
      </c>
    </row>
    <row r="32" spans="1:4">
      <c r="A32" s="2">
        <v>45839</v>
      </c>
      <c r="B32" t="s">
        <v>71</v>
      </c>
      <c r="C32">
        <v>405</v>
      </c>
      <c r="D32">
        <v>53403.17</v>
      </c>
    </row>
    <row r="33" spans="1:4">
      <c r="A33" s="2">
        <v>45870</v>
      </c>
      <c r="B33" t="s">
        <v>71</v>
      </c>
      <c r="C33">
        <v>1031</v>
      </c>
      <c r="D33">
        <v>146489.15</v>
      </c>
    </row>
    <row r="34" spans="1:4">
      <c r="A34" s="2">
        <v>45901</v>
      </c>
      <c r="B34" t="s">
        <v>71</v>
      </c>
      <c r="C34">
        <v>286</v>
      </c>
      <c r="D34">
        <v>41149.07</v>
      </c>
    </row>
    <row r="35" spans="1:4">
      <c r="A35" s="2">
        <v>45931</v>
      </c>
      <c r="B35" t="s">
        <v>71</v>
      </c>
      <c r="C35">
        <v>792</v>
      </c>
      <c r="D35">
        <v>128684.07</v>
      </c>
    </row>
    <row r="36" spans="1:4">
      <c r="A36" s="2">
        <v>45962</v>
      </c>
      <c r="B36" t="s">
        <v>71</v>
      </c>
      <c r="C36">
        <v>583</v>
      </c>
      <c r="D36">
        <v>79820.35</v>
      </c>
    </row>
    <row r="37" spans="1:4">
      <c r="A37" s="2">
        <v>45992</v>
      </c>
      <c r="B37" t="s">
        <v>71</v>
      </c>
      <c r="C37">
        <v>860</v>
      </c>
      <c r="D37">
        <v>134479.38</v>
      </c>
    </row>
    <row r="38" spans="1:4">
      <c r="A38" s="2">
        <v>45658</v>
      </c>
      <c r="B38" t="s">
        <v>74</v>
      </c>
      <c r="C38">
        <v>786</v>
      </c>
      <c r="D38">
        <v>34497.23</v>
      </c>
    </row>
    <row r="39" spans="1:4">
      <c r="A39" s="2">
        <v>45689</v>
      </c>
      <c r="B39" t="s">
        <v>74</v>
      </c>
      <c r="C39">
        <v>448</v>
      </c>
      <c r="D39">
        <v>15594.08</v>
      </c>
    </row>
    <row r="40" spans="1:4">
      <c r="A40" s="2">
        <v>45717</v>
      </c>
      <c r="B40" t="s">
        <v>74</v>
      </c>
      <c r="C40">
        <v>272</v>
      </c>
      <c r="D40">
        <v>9526.84</v>
      </c>
    </row>
    <row r="41" spans="1:4">
      <c r="A41" s="2">
        <v>45748</v>
      </c>
      <c r="B41" t="s">
        <v>74</v>
      </c>
      <c r="C41">
        <v>525</v>
      </c>
      <c r="D41">
        <v>15109.3</v>
      </c>
    </row>
    <row r="42" spans="1:4">
      <c r="A42" s="2">
        <v>45778</v>
      </c>
      <c r="B42" t="s">
        <v>74</v>
      </c>
      <c r="C42">
        <v>453</v>
      </c>
      <c r="D42">
        <v>16808.42</v>
      </c>
    </row>
    <row r="43" spans="1:4">
      <c r="A43" s="2">
        <v>45809</v>
      </c>
      <c r="B43" t="s">
        <v>74</v>
      </c>
      <c r="C43">
        <v>305</v>
      </c>
      <c r="D43">
        <v>13263.96</v>
      </c>
    </row>
    <row r="44" spans="1:4">
      <c r="A44" s="2">
        <v>45839</v>
      </c>
      <c r="B44" t="s">
        <v>74</v>
      </c>
      <c r="C44">
        <v>596</v>
      </c>
      <c r="D44">
        <v>25241</v>
      </c>
    </row>
    <row r="45" spans="1:4">
      <c r="A45" s="2">
        <v>45870</v>
      </c>
      <c r="B45" t="s">
        <v>74</v>
      </c>
      <c r="C45">
        <v>76</v>
      </c>
      <c r="D45">
        <v>2445.24</v>
      </c>
    </row>
    <row r="46" spans="1:4">
      <c r="A46" s="2">
        <v>45901</v>
      </c>
      <c r="B46" t="s">
        <v>74</v>
      </c>
      <c r="C46">
        <v>357</v>
      </c>
      <c r="D46">
        <v>14464.05</v>
      </c>
    </row>
    <row r="47" spans="1:4">
      <c r="A47" s="2">
        <v>45931</v>
      </c>
      <c r="B47" t="s">
        <v>74</v>
      </c>
      <c r="C47">
        <v>558</v>
      </c>
      <c r="D47">
        <v>23668.54</v>
      </c>
    </row>
    <row r="48" spans="1:4">
      <c r="A48" s="2">
        <v>45962</v>
      </c>
      <c r="B48" t="s">
        <v>74</v>
      </c>
      <c r="C48">
        <v>357</v>
      </c>
      <c r="D48">
        <v>11437.32</v>
      </c>
    </row>
    <row r="49" spans="1:4">
      <c r="A49" s="2">
        <v>45992</v>
      </c>
      <c r="B49" t="s">
        <v>74</v>
      </c>
      <c r="C49">
        <v>276</v>
      </c>
      <c r="D49">
        <v>11679.47</v>
      </c>
    </row>
    <row r="50" spans="1:4">
      <c r="A50" s="2">
        <v>45658</v>
      </c>
      <c r="B50" t="s">
        <v>77</v>
      </c>
      <c r="C50">
        <v>731</v>
      </c>
      <c r="D50">
        <v>37021.23</v>
      </c>
    </row>
    <row r="51" spans="1:4">
      <c r="A51" s="2">
        <v>45689</v>
      </c>
      <c r="B51" t="s">
        <v>77</v>
      </c>
      <c r="C51">
        <v>624</v>
      </c>
      <c r="D51">
        <v>30087.85</v>
      </c>
    </row>
    <row r="52" spans="1:4">
      <c r="A52" s="2">
        <v>45717</v>
      </c>
      <c r="B52" t="s">
        <v>77</v>
      </c>
      <c r="C52">
        <v>369</v>
      </c>
      <c r="D52">
        <v>19967.03</v>
      </c>
    </row>
    <row r="53" spans="1:4">
      <c r="A53" s="2">
        <v>45748</v>
      </c>
      <c r="B53" t="s">
        <v>77</v>
      </c>
      <c r="C53">
        <v>537</v>
      </c>
      <c r="D53">
        <v>24420.1</v>
      </c>
    </row>
    <row r="54" spans="1:4">
      <c r="A54" s="2">
        <v>45778</v>
      </c>
      <c r="B54" t="s">
        <v>77</v>
      </c>
      <c r="C54">
        <v>774</v>
      </c>
      <c r="D54">
        <v>30243.95</v>
      </c>
    </row>
    <row r="55" spans="1:4">
      <c r="A55" s="2">
        <v>45809</v>
      </c>
      <c r="B55" t="s">
        <v>77</v>
      </c>
      <c r="C55">
        <v>207</v>
      </c>
      <c r="D55">
        <v>9821.17</v>
      </c>
    </row>
    <row r="56" spans="1:4">
      <c r="A56" s="2">
        <v>45839</v>
      </c>
      <c r="B56" t="s">
        <v>77</v>
      </c>
      <c r="C56">
        <v>870</v>
      </c>
      <c r="D56">
        <v>37400.76</v>
      </c>
    </row>
    <row r="57" spans="1:4">
      <c r="A57" s="2">
        <v>45870</v>
      </c>
      <c r="B57" t="s">
        <v>77</v>
      </c>
      <c r="C57">
        <v>640</v>
      </c>
      <c r="D57">
        <v>29221.15</v>
      </c>
    </row>
    <row r="58" spans="1:4">
      <c r="A58" s="2">
        <v>45901</v>
      </c>
      <c r="B58" t="s">
        <v>77</v>
      </c>
      <c r="C58">
        <v>574</v>
      </c>
      <c r="D58">
        <v>30236.1</v>
      </c>
    </row>
    <row r="59" spans="1:4">
      <c r="A59" s="2">
        <v>45931</v>
      </c>
      <c r="B59" t="s">
        <v>77</v>
      </c>
      <c r="C59">
        <v>728</v>
      </c>
      <c r="D59">
        <v>33763.94</v>
      </c>
    </row>
    <row r="60" spans="1:4">
      <c r="A60" s="2">
        <v>45962</v>
      </c>
      <c r="B60" t="s">
        <v>77</v>
      </c>
      <c r="C60">
        <v>744</v>
      </c>
      <c r="D60">
        <v>39383.95</v>
      </c>
    </row>
    <row r="61" spans="1:4">
      <c r="A61" s="2">
        <v>45992</v>
      </c>
      <c r="B61" t="s">
        <v>77</v>
      </c>
      <c r="C61">
        <v>289</v>
      </c>
      <c r="D61">
        <v>13805.61</v>
      </c>
    </row>
    <row r="62" spans="1:4">
      <c r="A62" s="2">
        <v>45658</v>
      </c>
      <c r="B62" t="s">
        <v>80</v>
      </c>
      <c r="C62">
        <v>232</v>
      </c>
      <c r="D62">
        <v>18582.96</v>
      </c>
    </row>
    <row r="63" spans="1:4">
      <c r="A63" s="2">
        <v>45689</v>
      </c>
      <c r="B63" t="s">
        <v>80</v>
      </c>
      <c r="C63">
        <v>228</v>
      </c>
      <c r="D63">
        <v>19109.59</v>
      </c>
    </row>
    <row r="64" spans="1:4">
      <c r="A64" s="2">
        <v>45717</v>
      </c>
      <c r="B64" t="s">
        <v>80</v>
      </c>
      <c r="C64">
        <v>284</v>
      </c>
      <c r="D64">
        <v>24366.9</v>
      </c>
    </row>
    <row r="65" spans="1:4">
      <c r="A65" s="2">
        <v>45748</v>
      </c>
      <c r="B65" t="s">
        <v>80</v>
      </c>
      <c r="C65">
        <v>421</v>
      </c>
      <c r="D65">
        <v>33200.32</v>
      </c>
    </row>
    <row r="66" spans="1:4">
      <c r="A66" s="2">
        <v>45778</v>
      </c>
      <c r="B66" t="s">
        <v>80</v>
      </c>
      <c r="C66">
        <v>259</v>
      </c>
      <c r="D66">
        <v>26014.85</v>
      </c>
    </row>
    <row r="67" spans="1:4">
      <c r="A67" s="2">
        <v>45809</v>
      </c>
      <c r="B67" t="s">
        <v>80</v>
      </c>
      <c r="C67">
        <v>505</v>
      </c>
      <c r="D67">
        <v>48404.21</v>
      </c>
    </row>
    <row r="68" spans="1:4">
      <c r="A68" s="2">
        <v>45839</v>
      </c>
      <c r="B68" t="s">
        <v>80</v>
      </c>
      <c r="C68">
        <v>201</v>
      </c>
      <c r="D68">
        <v>15011.8</v>
      </c>
    </row>
    <row r="69" spans="1:4">
      <c r="A69" s="2">
        <v>45870</v>
      </c>
      <c r="B69" t="s">
        <v>80</v>
      </c>
      <c r="C69">
        <v>281</v>
      </c>
      <c r="D69">
        <v>23232.13</v>
      </c>
    </row>
    <row r="70" spans="1:4">
      <c r="A70" s="2">
        <v>45901</v>
      </c>
      <c r="B70" t="s">
        <v>80</v>
      </c>
      <c r="C70">
        <v>224</v>
      </c>
      <c r="D70">
        <v>22081.82</v>
      </c>
    </row>
    <row r="71" spans="1:4">
      <c r="A71" s="2">
        <v>45931</v>
      </c>
      <c r="B71" t="s">
        <v>80</v>
      </c>
      <c r="C71">
        <v>258</v>
      </c>
      <c r="D71">
        <v>20660.07</v>
      </c>
    </row>
    <row r="72" spans="1:4">
      <c r="A72" s="2">
        <v>45962</v>
      </c>
      <c r="B72" t="s">
        <v>80</v>
      </c>
      <c r="C72">
        <v>283</v>
      </c>
      <c r="D72">
        <v>22580.64</v>
      </c>
    </row>
    <row r="73" spans="1:4">
      <c r="A73" s="2">
        <v>45992</v>
      </c>
      <c r="B73" t="s">
        <v>80</v>
      </c>
      <c r="C73">
        <v>361</v>
      </c>
      <c r="D73">
        <v>33678.04</v>
      </c>
    </row>
    <row r="74" spans="1:4">
      <c r="A74" s="2">
        <v>45658</v>
      </c>
      <c r="B74" t="s">
        <v>82</v>
      </c>
      <c r="C74">
        <v>230</v>
      </c>
      <c r="D74">
        <v>4196.55</v>
      </c>
    </row>
    <row r="75" spans="1:4">
      <c r="A75" s="2">
        <v>45689</v>
      </c>
      <c r="B75" t="s">
        <v>82</v>
      </c>
      <c r="C75">
        <v>291</v>
      </c>
      <c r="D75">
        <v>4848.36</v>
      </c>
    </row>
    <row r="76" spans="1:4">
      <c r="A76" s="2">
        <v>45717</v>
      </c>
      <c r="B76" t="s">
        <v>82</v>
      </c>
      <c r="C76">
        <v>278</v>
      </c>
      <c r="D76">
        <v>5858.38</v>
      </c>
    </row>
    <row r="77" spans="1:4">
      <c r="A77" s="2">
        <v>45748</v>
      </c>
      <c r="B77" t="s">
        <v>82</v>
      </c>
      <c r="C77">
        <v>424</v>
      </c>
      <c r="D77">
        <v>7568.81</v>
      </c>
    </row>
    <row r="78" spans="1:4">
      <c r="A78" s="2">
        <v>45778</v>
      </c>
      <c r="B78" t="s">
        <v>82</v>
      </c>
      <c r="C78">
        <v>390</v>
      </c>
      <c r="D78">
        <v>7782.87</v>
      </c>
    </row>
    <row r="79" spans="1:4">
      <c r="A79" s="2">
        <v>45809</v>
      </c>
      <c r="B79" t="s">
        <v>82</v>
      </c>
      <c r="C79">
        <v>441</v>
      </c>
      <c r="D79">
        <v>7926.88</v>
      </c>
    </row>
    <row r="80" spans="1:4">
      <c r="A80" s="2">
        <v>45839</v>
      </c>
      <c r="B80" t="s">
        <v>82</v>
      </c>
      <c r="C80">
        <v>357</v>
      </c>
      <c r="D80">
        <v>6496.11</v>
      </c>
    </row>
    <row r="81" spans="1:4">
      <c r="A81" s="2">
        <v>45870</v>
      </c>
      <c r="B81" t="s">
        <v>82</v>
      </c>
      <c r="C81">
        <v>218</v>
      </c>
      <c r="D81">
        <v>3898.99</v>
      </c>
    </row>
    <row r="82" spans="1:4">
      <c r="A82" s="2">
        <v>45901</v>
      </c>
      <c r="B82" t="s">
        <v>82</v>
      </c>
      <c r="C82">
        <v>330</v>
      </c>
      <c r="D82">
        <v>7405.68</v>
      </c>
    </row>
    <row r="83" spans="1:4">
      <c r="A83" s="2">
        <v>45931</v>
      </c>
      <c r="B83" t="s">
        <v>82</v>
      </c>
      <c r="C83">
        <v>295</v>
      </c>
      <c r="D83">
        <v>4969.72</v>
      </c>
    </row>
    <row r="84" spans="1:4">
      <c r="A84" s="2">
        <v>45962</v>
      </c>
      <c r="B84" t="s">
        <v>82</v>
      </c>
      <c r="C84">
        <v>287</v>
      </c>
      <c r="D84">
        <v>5614.47</v>
      </c>
    </row>
    <row r="85" spans="1:4">
      <c r="A85" s="2">
        <v>45992</v>
      </c>
      <c r="B85" t="s">
        <v>82</v>
      </c>
      <c r="C85">
        <v>328</v>
      </c>
      <c r="D85">
        <v>4914.53</v>
      </c>
    </row>
    <row r="86" spans="1:4">
      <c r="A86" s="2">
        <v>45658</v>
      </c>
      <c r="B86" t="s">
        <v>84</v>
      </c>
      <c r="C86">
        <v>127</v>
      </c>
      <c r="D86">
        <v>15682.06</v>
      </c>
    </row>
    <row r="87" spans="1:4">
      <c r="A87" s="2">
        <v>45689</v>
      </c>
      <c r="B87" t="s">
        <v>84</v>
      </c>
      <c r="C87">
        <v>122</v>
      </c>
      <c r="D87">
        <v>22611.17</v>
      </c>
    </row>
    <row r="88" spans="1:4">
      <c r="A88" s="2">
        <v>45717</v>
      </c>
      <c r="B88" t="s">
        <v>84</v>
      </c>
      <c r="C88">
        <v>248</v>
      </c>
      <c r="D88">
        <v>29621.93</v>
      </c>
    </row>
    <row r="89" spans="1:4">
      <c r="A89" s="2">
        <v>45748</v>
      </c>
      <c r="B89" t="s">
        <v>84</v>
      </c>
      <c r="C89">
        <v>117</v>
      </c>
      <c r="D89">
        <v>16550.22</v>
      </c>
    </row>
    <row r="90" spans="1:4">
      <c r="A90" s="2">
        <v>45778</v>
      </c>
      <c r="B90" t="s">
        <v>84</v>
      </c>
      <c r="C90">
        <v>168</v>
      </c>
      <c r="D90">
        <v>31381.63</v>
      </c>
    </row>
    <row r="91" spans="1:4">
      <c r="A91" s="2">
        <v>45809</v>
      </c>
      <c r="B91" t="s">
        <v>84</v>
      </c>
      <c r="C91">
        <v>296</v>
      </c>
      <c r="D91">
        <v>38927.65</v>
      </c>
    </row>
    <row r="92" spans="1:4">
      <c r="A92" s="2">
        <v>45839</v>
      </c>
      <c r="B92" t="s">
        <v>84</v>
      </c>
      <c r="C92">
        <v>228</v>
      </c>
      <c r="D92">
        <v>28955.13</v>
      </c>
    </row>
    <row r="93" spans="1:4">
      <c r="A93" s="2">
        <v>45870</v>
      </c>
      <c r="B93" t="s">
        <v>84</v>
      </c>
      <c r="C93">
        <v>102</v>
      </c>
      <c r="D93">
        <v>13141.59</v>
      </c>
    </row>
    <row r="94" spans="1:4">
      <c r="A94" s="2">
        <v>45901</v>
      </c>
      <c r="B94" t="s">
        <v>84</v>
      </c>
      <c r="C94">
        <v>256</v>
      </c>
      <c r="D94">
        <v>31324.45</v>
      </c>
    </row>
    <row r="95" spans="1:4">
      <c r="A95" s="2">
        <v>45931</v>
      </c>
      <c r="B95" t="s">
        <v>84</v>
      </c>
      <c r="C95">
        <v>238</v>
      </c>
      <c r="D95">
        <v>41591.75</v>
      </c>
    </row>
    <row r="96" spans="1:4">
      <c r="A96" s="2">
        <v>45962</v>
      </c>
      <c r="B96" t="s">
        <v>84</v>
      </c>
      <c r="C96">
        <v>219</v>
      </c>
      <c r="D96">
        <v>39611.7</v>
      </c>
    </row>
    <row r="97" spans="1:4">
      <c r="A97" s="2">
        <v>45992</v>
      </c>
      <c r="B97" t="s">
        <v>84</v>
      </c>
      <c r="C97">
        <v>225</v>
      </c>
      <c r="D97">
        <v>35534.9</v>
      </c>
    </row>
    <row r="98" spans="1:4">
      <c r="A98" s="2">
        <v>45658</v>
      </c>
      <c r="B98" t="s">
        <v>86</v>
      </c>
      <c r="C98">
        <v>366</v>
      </c>
      <c r="D98">
        <v>9890.97</v>
      </c>
    </row>
    <row r="99" spans="1:4">
      <c r="A99" s="2">
        <v>45689</v>
      </c>
      <c r="B99" t="s">
        <v>86</v>
      </c>
      <c r="C99">
        <v>651</v>
      </c>
      <c r="D99">
        <v>23748.67</v>
      </c>
    </row>
    <row r="100" spans="1:4">
      <c r="A100" s="2">
        <v>45717</v>
      </c>
      <c r="B100" t="s">
        <v>86</v>
      </c>
      <c r="C100">
        <v>774</v>
      </c>
      <c r="D100">
        <v>20621.43</v>
      </c>
    </row>
    <row r="101" spans="1:4">
      <c r="A101" s="2">
        <v>45748</v>
      </c>
      <c r="B101" t="s">
        <v>86</v>
      </c>
      <c r="C101">
        <v>465</v>
      </c>
      <c r="D101">
        <v>10986.94</v>
      </c>
    </row>
    <row r="102" spans="1:4">
      <c r="A102" s="2">
        <v>45778</v>
      </c>
      <c r="B102" t="s">
        <v>86</v>
      </c>
      <c r="C102">
        <v>440</v>
      </c>
      <c r="D102">
        <v>10500.88</v>
      </c>
    </row>
    <row r="103" spans="1:4">
      <c r="A103" s="2">
        <v>45809</v>
      </c>
      <c r="B103" t="s">
        <v>86</v>
      </c>
      <c r="C103">
        <v>458</v>
      </c>
      <c r="D103">
        <v>13337.42</v>
      </c>
    </row>
    <row r="104" spans="1:4">
      <c r="A104" s="2">
        <v>45839</v>
      </c>
      <c r="B104" t="s">
        <v>86</v>
      </c>
      <c r="C104">
        <v>614</v>
      </c>
      <c r="D104">
        <v>14502.7</v>
      </c>
    </row>
    <row r="105" spans="1:4">
      <c r="A105" s="2">
        <v>45870</v>
      </c>
      <c r="B105" t="s">
        <v>86</v>
      </c>
      <c r="C105">
        <v>641</v>
      </c>
      <c r="D105">
        <v>20505.68</v>
      </c>
    </row>
    <row r="106" spans="1:4">
      <c r="A106" s="2">
        <v>45901</v>
      </c>
      <c r="B106" t="s">
        <v>86</v>
      </c>
      <c r="C106">
        <v>392</v>
      </c>
      <c r="D106">
        <v>13300.02</v>
      </c>
    </row>
    <row r="107" spans="1:4">
      <c r="A107" s="2">
        <v>45931</v>
      </c>
      <c r="B107" t="s">
        <v>86</v>
      </c>
      <c r="C107">
        <v>181</v>
      </c>
      <c r="D107">
        <v>5453.58</v>
      </c>
    </row>
    <row r="108" spans="1:4">
      <c r="A108" s="2">
        <v>45962</v>
      </c>
      <c r="B108" t="s">
        <v>86</v>
      </c>
      <c r="C108">
        <v>411</v>
      </c>
      <c r="D108">
        <v>11463.26</v>
      </c>
    </row>
    <row r="109" spans="1:4">
      <c r="A109" s="2">
        <v>45992</v>
      </c>
      <c r="B109" t="s">
        <v>86</v>
      </c>
      <c r="C109">
        <v>414</v>
      </c>
      <c r="D109">
        <v>13500.85</v>
      </c>
    </row>
    <row r="110" spans="1:4">
      <c r="A110" s="2">
        <v>45658</v>
      </c>
      <c r="B110" t="s">
        <v>88</v>
      </c>
      <c r="C110">
        <v>869</v>
      </c>
      <c r="D110">
        <v>90950.61</v>
      </c>
    </row>
    <row r="111" spans="1:4">
      <c r="A111" s="2">
        <v>45689</v>
      </c>
      <c r="B111" t="s">
        <v>88</v>
      </c>
      <c r="C111">
        <v>807</v>
      </c>
      <c r="D111">
        <v>106545.84</v>
      </c>
    </row>
    <row r="112" spans="1:4">
      <c r="A112" s="2">
        <v>45717</v>
      </c>
      <c r="B112" t="s">
        <v>88</v>
      </c>
      <c r="C112">
        <v>735</v>
      </c>
      <c r="D112">
        <v>94961.64</v>
      </c>
    </row>
    <row r="113" spans="1:4">
      <c r="A113" s="2">
        <v>45748</v>
      </c>
      <c r="B113" t="s">
        <v>88</v>
      </c>
      <c r="C113">
        <v>702</v>
      </c>
      <c r="D113">
        <v>78465.04</v>
      </c>
    </row>
    <row r="114" spans="1:4">
      <c r="A114" s="2">
        <v>45778</v>
      </c>
      <c r="B114" t="s">
        <v>88</v>
      </c>
      <c r="C114">
        <v>770</v>
      </c>
      <c r="D114">
        <v>87533</v>
      </c>
    </row>
    <row r="115" spans="1:4">
      <c r="A115" s="2">
        <v>45809</v>
      </c>
      <c r="B115" t="s">
        <v>88</v>
      </c>
      <c r="C115">
        <v>915</v>
      </c>
      <c r="D115">
        <v>104606.12</v>
      </c>
    </row>
    <row r="116" spans="1:4">
      <c r="A116" s="2">
        <v>45839</v>
      </c>
      <c r="B116" t="s">
        <v>88</v>
      </c>
      <c r="C116">
        <v>885</v>
      </c>
      <c r="D116">
        <v>103325.47</v>
      </c>
    </row>
    <row r="117" spans="1:4">
      <c r="A117" s="2">
        <v>45870</v>
      </c>
      <c r="B117" t="s">
        <v>88</v>
      </c>
      <c r="C117">
        <v>525</v>
      </c>
      <c r="D117">
        <v>75787.75</v>
      </c>
    </row>
    <row r="118" spans="1:4">
      <c r="A118" s="2">
        <v>45901</v>
      </c>
      <c r="B118" t="s">
        <v>88</v>
      </c>
      <c r="C118">
        <v>643</v>
      </c>
      <c r="D118">
        <v>65631.72</v>
      </c>
    </row>
    <row r="119" spans="1:4">
      <c r="A119" s="2">
        <v>45931</v>
      </c>
      <c r="B119" t="s">
        <v>88</v>
      </c>
      <c r="C119">
        <v>581</v>
      </c>
      <c r="D119">
        <v>78874.58</v>
      </c>
    </row>
    <row r="120" spans="1:4">
      <c r="A120" s="2">
        <v>45962</v>
      </c>
      <c r="B120" t="s">
        <v>88</v>
      </c>
      <c r="C120">
        <v>713</v>
      </c>
      <c r="D120">
        <v>103835.49</v>
      </c>
    </row>
    <row r="121" spans="1:4">
      <c r="A121" s="2">
        <v>45992</v>
      </c>
      <c r="B121" t="s">
        <v>88</v>
      </c>
      <c r="C121">
        <v>800</v>
      </c>
      <c r="D121">
        <v>96010.37</v>
      </c>
    </row>
    <row r="122" spans="1:4">
      <c r="A122" s="2">
        <v>45658</v>
      </c>
      <c r="B122" t="s">
        <v>90</v>
      </c>
      <c r="C122">
        <v>18</v>
      </c>
      <c r="D122">
        <v>1749.02</v>
      </c>
    </row>
    <row r="123" spans="1:4">
      <c r="A123" s="2">
        <v>45689</v>
      </c>
      <c r="B123" t="s">
        <v>90</v>
      </c>
      <c r="C123">
        <v>89</v>
      </c>
      <c r="D123">
        <v>10505.1</v>
      </c>
    </row>
    <row r="124" spans="1:4">
      <c r="A124" s="2">
        <v>45717</v>
      </c>
      <c r="B124" t="s">
        <v>90</v>
      </c>
      <c r="C124">
        <v>147</v>
      </c>
      <c r="D124">
        <v>13598.99</v>
      </c>
    </row>
    <row r="125" spans="1:4">
      <c r="A125" s="2">
        <v>45748</v>
      </c>
      <c r="B125" t="s">
        <v>90</v>
      </c>
      <c r="C125">
        <v>83</v>
      </c>
      <c r="D125">
        <v>9248.39</v>
      </c>
    </row>
    <row r="126" spans="1:4">
      <c r="A126" s="2">
        <v>45778</v>
      </c>
      <c r="B126" t="s">
        <v>90</v>
      </c>
      <c r="C126">
        <v>67</v>
      </c>
      <c r="D126">
        <v>7019.67</v>
      </c>
    </row>
    <row r="127" spans="1:4">
      <c r="A127" s="2">
        <v>45809</v>
      </c>
      <c r="B127" t="s">
        <v>90</v>
      </c>
      <c r="C127">
        <v>82</v>
      </c>
      <c r="D127">
        <v>6793.88</v>
      </c>
    </row>
    <row r="128" spans="1:4">
      <c r="A128" s="2">
        <v>45839</v>
      </c>
      <c r="B128" t="s">
        <v>90</v>
      </c>
      <c r="C128">
        <v>141</v>
      </c>
      <c r="D128">
        <v>17016.31</v>
      </c>
    </row>
    <row r="129" spans="1:4">
      <c r="A129" s="2">
        <v>45870</v>
      </c>
      <c r="B129" t="s">
        <v>90</v>
      </c>
      <c r="C129">
        <v>53</v>
      </c>
      <c r="D129">
        <v>6441.59</v>
      </c>
    </row>
    <row r="130" spans="1:4">
      <c r="A130" s="2">
        <v>45901</v>
      </c>
      <c r="B130" t="s">
        <v>90</v>
      </c>
      <c r="C130">
        <v>170</v>
      </c>
      <c r="D130">
        <v>21337.84</v>
      </c>
    </row>
    <row r="131" spans="1:4">
      <c r="A131" s="2">
        <v>45931</v>
      </c>
      <c r="B131" t="s">
        <v>90</v>
      </c>
      <c r="C131">
        <v>130</v>
      </c>
      <c r="D131">
        <v>12429.93</v>
      </c>
    </row>
    <row r="132" spans="1:4">
      <c r="A132" s="2">
        <v>45962</v>
      </c>
      <c r="B132" t="s">
        <v>90</v>
      </c>
      <c r="C132">
        <v>135</v>
      </c>
      <c r="D132">
        <v>16527.82</v>
      </c>
    </row>
    <row r="133" spans="1:4">
      <c r="A133" s="2">
        <v>45992</v>
      </c>
      <c r="B133" t="s">
        <v>90</v>
      </c>
      <c r="C133">
        <v>88</v>
      </c>
      <c r="D133">
        <v>9230.8</v>
      </c>
    </row>
    <row r="134" spans="1:4">
      <c r="A134" s="2">
        <v>45658</v>
      </c>
      <c r="B134" t="s">
        <v>92</v>
      </c>
      <c r="C134">
        <v>311</v>
      </c>
      <c r="D134">
        <v>38914.11</v>
      </c>
    </row>
    <row r="135" spans="1:4">
      <c r="A135" s="2">
        <v>45689</v>
      </c>
      <c r="B135" t="s">
        <v>92</v>
      </c>
      <c r="C135">
        <v>387</v>
      </c>
      <c r="D135">
        <v>35973.18</v>
      </c>
    </row>
    <row r="136" spans="1:4">
      <c r="A136" s="2">
        <v>45717</v>
      </c>
      <c r="B136" t="s">
        <v>92</v>
      </c>
      <c r="C136">
        <v>370</v>
      </c>
      <c r="D136">
        <v>37946.1</v>
      </c>
    </row>
    <row r="137" spans="1:4">
      <c r="A137" s="2">
        <v>45748</v>
      </c>
      <c r="B137" t="s">
        <v>92</v>
      </c>
      <c r="C137">
        <v>253</v>
      </c>
      <c r="D137">
        <v>21592.92</v>
      </c>
    </row>
    <row r="138" spans="1:4">
      <c r="A138" s="2">
        <v>45778</v>
      </c>
      <c r="B138" t="s">
        <v>92</v>
      </c>
      <c r="C138">
        <v>488</v>
      </c>
      <c r="D138">
        <v>55531.17</v>
      </c>
    </row>
    <row r="139" spans="1:4">
      <c r="A139" s="2">
        <v>45809</v>
      </c>
      <c r="B139" t="s">
        <v>92</v>
      </c>
      <c r="C139">
        <v>332</v>
      </c>
      <c r="D139">
        <v>38860.9</v>
      </c>
    </row>
    <row r="140" spans="1:4">
      <c r="A140" s="2">
        <v>45839</v>
      </c>
      <c r="B140" t="s">
        <v>92</v>
      </c>
      <c r="C140">
        <v>377</v>
      </c>
      <c r="D140">
        <v>36616.3</v>
      </c>
    </row>
    <row r="141" spans="1:4">
      <c r="A141" s="2">
        <v>45870</v>
      </c>
      <c r="B141" t="s">
        <v>92</v>
      </c>
      <c r="C141">
        <v>358</v>
      </c>
      <c r="D141">
        <v>34245.65</v>
      </c>
    </row>
    <row r="142" spans="1:4">
      <c r="A142" s="2">
        <v>45901</v>
      </c>
      <c r="B142" t="s">
        <v>92</v>
      </c>
      <c r="C142">
        <v>190</v>
      </c>
      <c r="D142">
        <v>23025.87</v>
      </c>
    </row>
    <row r="143" spans="1:4">
      <c r="A143" s="2">
        <v>45931</v>
      </c>
      <c r="B143" t="s">
        <v>92</v>
      </c>
      <c r="C143">
        <v>287</v>
      </c>
      <c r="D143">
        <v>28403.11</v>
      </c>
    </row>
    <row r="144" spans="1:4">
      <c r="A144" s="2">
        <v>45962</v>
      </c>
      <c r="B144" t="s">
        <v>92</v>
      </c>
      <c r="C144">
        <v>199</v>
      </c>
      <c r="D144">
        <v>24860.85</v>
      </c>
    </row>
    <row r="145" spans="1:4">
      <c r="A145" s="2">
        <v>45992</v>
      </c>
      <c r="B145" t="s">
        <v>92</v>
      </c>
      <c r="C145">
        <v>376</v>
      </c>
      <c r="D145">
        <v>33831.39</v>
      </c>
    </row>
    <row r="146" spans="1:4">
      <c r="A146" s="2">
        <v>45658</v>
      </c>
      <c r="B146" t="s">
        <v>94</v>
      </c>
      <c r="C146">
        <v>505</v>
      </c>
      <c r="D146">
        <v>4248.2</v>
      </c>
    </row>
    <row r="147" spans="1:4">
      <c r="A147" s="2">
        <v>45689</v>
      </c>
      <c r="B147" t="s">
        <v>94</v>
      </c>
      <c r="C147">
        <v>707</v>
      </c>
      <c r="D147">
        <v>5412.13</v>
      </c>
    </row>
    <row r="148" spans="1:4">
      <c r="A148" s="2">
        <v>45717</v>
      </c>
      <c r="B148" t="s">
        <v>94</v>
      </c>
      <c r="C148">
        <v>477</v>
      </c>
      <c r="D148">
        <v>4202.67</v>
      </c>
    </row>
    <row r="149" spans="1:4">
      <c r="A149" s="2">
        <v>45748</v>
      </c>
      <c r="B149" t="s">
        <v>94</v>
      </c>
      <c r="C149">
        <v>716</v>
      </c>
      <c r="D149">
        <v>7568.93</v>
      </c>
    </row>
    <row r="150" spans="1:4">
      <c r="A150" s="2">
        <v>45778</v>
      </c>
      <c r="B150" t="s">
        <v>94</v>
      </c>
      <c r="C150">
        <v>252</v>
      </c>
      <c r="D150">
        <v>2444.4</v>
      </c>
    </row>
    <row r="151" spans="1:4">
      <c r="A151" s="2">
        <v>45809</v>
      </c>
      <c r="B151" t="s">
        <v>94</v>
      </c>
      <c r="C151">
        <v>886</v>
      </c>
      <c r="D151">
        <v>9398.79</v>
      </c>
    </row>
    <row r="152" spans="1:4">
      <c r="A152" s="2">
        <v>45839</v>
      </c>
      <c r="B152" t="s">
        <v>94</v>
      </c>
      <c r="C152">
        <v>491</v>
      </c>
      <c r="D152">
        <v>5542.4</v>
      </c>
    </row>
    <row r="153" spans="1:4">
      <c r="A153" s="2">
        <v>45870</v>
      </c>
      <c r="B153" t="s">
        <v>94</v>
      </c>
      <c r="C153">
        <v>936</v>
      </c>
      <c r="D153">
        <v>8595.82</v>
      </c>
    </row>
    <row r="154" spans="1:4">
      <c r="A154" s="2">
        <v>45901</v>
      </c>
      <c r="B154" t="s">
        <v>94</v>
      </c>
      <c r="C154">
        <v>86</v>
      </c>
      <c r="D154">
        <v>954.61</v>
      </c>
    </row>
    <row r="155" spans="1:4">
      <c r="A155" s="2">
        <v>45931</v>
      </c>
      <c r="B155" t="s">
        <v>94</v>
      </c>
      <c r="C155">
        <v>464</v>
      </c>
      <c r="D155">
        <v>4172.84</v>
      </c>
    </row>
    <row r="156" spans="1:4">
      <c r="A156" s="2">
        <v>45962</v>
      </c>
      <c r="B156" t="s">
        <v>94</v>
      </c>
      <c r="C156">
        <v>457</v>
      </c>
      <c r="D156">
        <v>3823.18</v>
      </c>
    </row>
    <row r="157" spans="1:4">
      <c r="A157" s="2">
        <v>45992</v>
      </c>
      <c r="B157" t="s">
        <v>94</v>
      </c>
      <c r="C157">
        <v>392</v>
      </c>
      <c r="D157">
        <v>3434.71</v>
      </c>
    </row>
    <row r="158" spans="1:4">
      <c r="A158" s="2">
        <v>45658</v>
      </c>
      <c r="B158" t="s">
        <v>96</v>
      </c>
      <c r="C158">
        <v>728</v>
      </c>
      <c r="D158">
        <v>120193.77</v>
      </c>
    </row>
    <row r="159" spans="1:4">
      <c r="A159" s="2">
        <v>45689</v>
      </c>
      <c r="B159" t="s">
        <v>96</v>
      </c>
      <c r="C159">
        <v>1038</v>
      </c>
      <c r="D159">
        <v>118239.04</v>
      </c>
    </row>
    <row r="160" spans="1:4">
      <c r="A160" s="2">
        <v>45717</v>
      </c>
      <c r="B160" t="s">
        <v>96</v>
      </c>
      <c r="C160">
        <v>556</v>
      </c>
      <c r="D160">
        <v>68105.36</v>
      </c>
    </row>
    <row r="161" spans="1:4">
      <c r="A161" s="2">
        <v>45748</v>
      </c>
      <c r="B161" t="s">
        <v>96</v>
      </c>
      <c r="C161">
        <v>826</v>
      </c>
      <c r="D161">
        <v>108503.46</v>
      </c>
    </row>
    <row r="162" spans="1:4">
      <c r="A162" s="2">
        <v>45778</v>
      </c>
      <c r="B162" t="s">
        <v>96</v>
      </c>
      <c r="C162">
        <v>850</v>
      </c>
      <c r="D162">
        <v>142563.58</v>
      </c>
    </row>
    <row r="163" spans="1:4">
      <c r="A163" s="2">
        <v>45809</v>
      </c>
      <c r="B163" t="s">
        <v>96</v>
      </c>
      <c r="C163">
        <v>370</v>
      </c>
      <c r="D163">
        <v>54297.46</v>
      </c>
    </row>
    <row r="164" spans="1:4">
      <c r="A164" s="2">
        <v>45839</v>
      </c>
      <c r="B164" t="s">
        <v>96</v>
      </c>
      <c r="C164">
        <v>610</v>
      </c>
      <c r="D164">
        <v>91785.87</v>
      </c>
    </row>
    <row r="165" spans="1:4">
      <c r="A165" s="2">
        <v>45870</v>
      </c>
      <c r="B165" t="s">
        <v>96</v>
      </c>
      <c r="C165">
        <v>754</v>
      </c>
      <c r="D165">
        <v>81285.48</v>
      </c>
    </row>
    <row r="166" spans="1:4">
      <c r="A166" s="2">
        <v>45901</v>
      </c>
      <c r="B166" t="s">
        <v>96</v>
      </c>
      <c r="C166">
        <v>595</v>
      </c>
      <c r="D166">
        <v>81836.17</v>
      </c>
    </row>
    <row r="167" spans="1:4">
      <c r="A167" s="2">
        <v>45931</v>
      </c>
      <c r="B167" t="s">
        <v>96</v>
      </c>
      <c r="C167">
        <v>966</v>
      </c>
      <c r="D167">
        <v>122357</v>
      </c>
    </row>
    <row r="168" spans="1:4">
      <c r="A168" s="2">
        <v>45962</v>
      </c>
      <c r="B168" t="s">
        <v>96</v>
      </c>
      <c r="C168">
        <v>488</v>
      </c>
      <c r="D168">
        <v>77864</v>
      </c>
    </row>
    <row r="169" spans="1:4">
      <c r="A169" s="2">
        <v>45992</v>
      </c>
      <c r="B169" t="s">
        <v>96</v>
      </c>
      <c r="C169">
        <v>996</v>
      </c>
      <c r="D169">
        <v>169278.08</v>
      </c>
    </row>
    <row r="170" spans="1:4">
      <c r="A170" s="2">
        <v>45658</v>
      </c>
      <c r="B170" t="s">
        <v>98</v>
      </c>
      <c r="C170">
        <v>141</v>
      </c>
      <c r="D170">
        <v>9615.23</v>
      </c>
    </row>
    <row r="171" spans="1:4">
      <c r="A171" s="2">
        <v>45689</v>
      </c>
      <c r="B171" t="s">
        <v>98</v>
      </c>
      <c r="C171">
        <v>91</v>
      </c>
      <c r="D171">
        <v>5102.84</v>
      </c>
    </row>
    <row r="172" spans="1:4">
      <c r="A172" s="2">
        <v>45717</v>
      </c>
      <c r="B172" t="s">
        <v>98</v>
      </c>
      <c r="C172">
        <v>110</v>
      </c>
      <c r="D172">
        <v>8012.01</v>
      </c>
    </row>
    <row r="173" spans="1:4">
      <c r="A173" s="2">
        <v>45748</v>
      </c>
      <c r="B173" t="s">
        <v>98</v>
      </c>
      <c r="C173">
        <v>124</v>
      </c>
      <c r="D173">
        <v>8052.12</v>
      </c>
    </row>
    <row r="174" spans="1:4">
      <c r="A174" s="2">
        <v>45778</v>
      </c>
      <c r="B174" t="s">
        <v>98</v>
      </c>
      <c r="C174">
        <v>101</v>
      </c>
      <c r="D174">
        <v>6541.03</v>
      </c>
    </row>
    <row r="175" spans="1:4">
      <c r="A175" s="2">
        <v>45809</v>
      </c>
      <c r="B175" t="s">
        <v>98</v>
      </c>
      <c r="C175">
        <v>184</v>
      </c>
      <c r="D175">
        <v>9629.11</v>
      </c>
    </row>
    <row r="176" spans="1:4">
      <c r="A176" s="2">
        <v>45839</v>
      </c>
      <c r="B176" t="s">
        <v>98</v>
      </c>
      <c r="C176">
        <v>117</v>
      </c>
      <c r="D176">
        <v>6724.98</v>
      </c>
    </row>
    <row r="177" spans="1:4">
      <c r="A177" s="2">
        <v>45870</v>
      </c>
      <c r="B177" t="s">
        <v>98</v>
      </c>
      <c r="C177">
        <v>188</v>
      </c>
      <c r="D177">
        <v>11317.34</v>
      </c>
    </row>
    <row r="178" spans="1:4">
      <c r="A178" s="2">
        <v>45901</v>
      </c>
      <c r="B178" t="s">
        <v>98</v>
      </c>
      <c r="C178">
        <v>162</v>
      </c>
      <c r="D178">
        <v>11971.32</v>
      </c>
    </row>
    <row r="179" spans="1:4">
      <c r="A179" s="2">
        <v>45931</v>
      </c>
      <c r="B179" t="s">
        <v>98</v>
      </c>
      <c r="C179">
        <v>48</v>
      </c>
      <c r="D179">
        <v>2376.12</v>
      </c>
    </row>
    <row r="180" spans="1:4">
      <c r="A180" s="2">
        <v>45962</v>
      </c>
      <c r="B180" t="s">
        <v>98</v>
      </c>
      <c r="C180">
        <v>58</v>
      </c>
      <c r="D180">
        <v>3739.36</v>
      </c>
    </row>
    <row r="181" spans="1:4">
      <c r="A181" s="2">
        <v>45992</v>
      </c>
      <c r="B181" t="s">
        <v>98</v>
      </c>
      <c r="C181">
        <v>96</v>
      </c>
      <c r="D181">
        <v>5503.58</v>
      </c>
    </row>
    <row r="182" spans="1:4">
      <c r="A182" s="2">
        <v>45658</v>
      </c>
      <c r="B182" t="s">
        <v>100</v>
      </c>
      <c r="C182">
        <v>645</v>
      </c>
      <c r="D182">
        <v>108708</v>
      </c>
    </row>
    <row r="183" spans="1:4">
      <c r="A183" s="2">
        <v>45689</v>
      </c>
      <c r="B183" t="s">
        <v>100</v>
      </c>
      <c r="C183">
        <v>319</v>
      </c>
      <c r="D183">
        <v>51368.89</v>
      </c>
    </row>
    <row r="184" spans="1:4">
      <c r="A184" s="2">
        <v>45717</v>
      </c>
      <c r="B184" t="s">
        <v>100</v>
      </c>
      <c r="C184">
        <v>443</v>
      </c>
      <c r="D184">
        <v>56835.5</v>
      </c>
    </row>
    <row r="185" spans="1:4">
      <c r="A185" s="2">
        <v>45748</v>
      </c>
      <c r="B185" t="s">
        <v>100</v>
      </c>
      <c r="C185">
        <v>576</v>
      </c>
      <c r="D185">
        <v>100595.32</v>
      </c>
    </row>
    <row r="186" spans="1:4">
      <c r="A186" s="2">
        <v>45778</v>
      </c>
      <c r="B186" t="s">
        <v>100</v>
      </c>
      <c r="C186">
        <v>949</v>
      </c>
      <c r="D186">
        <v>117143.17</v>
      </c>
    </row>
    <row r="187" spans="1:4">
      <c r="A187" s="2">
        <v>45809</v>
      </c>
      <c r="B187" t="s">
        <v>100</v>
      </c>
      <c r="C187">
        <v>723</v>
      </c>
      <c r="D187">
        <v>106862.44</v>
      </c>
    </row>
    <row r="188" spans="1:4">
      <c r="A188" s="2">
        <v>45839</v>
      </c>
      <c r="B188" t="s">
        <v>100</v>
      </c>
      <c r="C188">
        <v>936</v>
      </c>
      <c r="D188">
        <v>139074.05</v>
      </c>
    </row>
    <row r="189" spans="1:4">
      <c r="A189" s="2">
        <v>45870</v>
      </c>
      <c r="B189" t="s">
        <v>100</v>
      </c>
      <c r="C189">
        <v>625</v>
      </c>
      <c r="D189">
        <v>75645.42</v>
      </c>
    </row>
    <row r="190" spans="1:4">
      <c r="A190" s="2">
        <v>45901</v>
      </c>
      <c r="B190" t="s">
        <v>100</v>
      </c>
      <c r="C190">
        <v>601</v>
      </c>
      <c r="D190">
        <v>69771.75</v>
      </c>
    </row>
    <row r="191" spans="1:4">
      <c r="A191" s="2">
        <v>45931</v>
      </c>
      <c r="B191" t="s">
        <v>100</v>
      </c>
      <c r="C191">
        <v>553</v>
      </c>
      <c r="D191">
        <v>101024.29</v>
      </c>
    </row>
    <row r="192" spans="1:4">
      <c r="A192" s="2">
        <v>45962</v>
      </c>
      <c r="B192" t="s">
        <v>100</v>
      </c>
      <c r="C192">
        <v>596</v>
      </c>
      <c r="D192">
        <v>93805.71</v>
      </c>
    </row>
    <row r="193" spans="1:4">
      <c r="A193" s="2">
        <v>45992</v>
      </c>
      <c r="B193" t="s">
        <v>100</v>
      </c>
      <c r="C193">
        <v>354</v>
      </c>
      <c r="D193">
        <v>46478.61</v>
      </c>
    </row>
    <row r="194" spans="1:4">
      <c r="A194" s="2">
        <v>45658</v>
      </c>
      <c r="B194" t="s">
        <v>102</v>
      </c>
      <c r="C194">
        <v>66</v>
      </c>
      <c r="D194">
        <v>8842.59</v>
      </c>
    </row>
    <row r="195" spans="1:4">
      <c r="A195" s="2">
        <v>45689</v>
      </c>
      <c r="B195" t="s">
        <v>102</v>
      </c>
      <c r="C195">
        <v>48</v>
      </c>
      <c r="D195">
        <v>4763.94</v>
      </c>
    </row>
    <row r="196" spans="1:4">
      <c r="A196" s="2">
        <v>45717</v>
      </c>
      <c r="B196" t="s">
        <v>102</v>
      </c>
      <c r="C196">
        <v>49</v>
      </c>
      <c r="D196">
        <v>7154.68</v>
      </c>
    </row>
    <row r="197" spans="1:4">
      <c r="A197" s="2">
        <v>45748</v>
      </c>
      <c r="B197" t="s">
        <v>102</v>
      </c>
      <c r="C197">
        <v>42</v>
      </c>
      <c r="D197">
        <v>6429.39</v>
      </c>
    </row>
    <row r="198" spans="1:4">
      <c r="A198" s="2">
        <v>45778</v>
      </c>
      <c r="B198" t="s">
        <v>102</v>
      </c>
      <c r="C198">
        <v>33</v>
      </c>
      <c r="D198">
        <v>4163.15</v>
      </c>
    </row>
    <row r="199" spans="1:4">
      <c r="A199" s="2">
        <v>45809</v>
      </c>
      <c r="B199" t="s">
        <v>102</v>
      </c>
      <c r="C199">
        <v>43</v>
      </c>
      <c r="D199">
        <v>4946.11</v>
      </c>
    </row>
    <row r="200" spans="1:4">
      <c r="A200" s="2">
        <v>45839</v>
      </c>
      <c r="B200" t="s">
        <v>102</v>
      </c>
      <c r="C200">
        <v>34</v>
      </c>
      <c r="D200">
        <v>3302.63</v>
      </c>
    </row>
    <row r="201" spans="1:4">
      <c r="A201" s="2">
        <v>45870</v>
      </c>
      <c r="B201" t="s">
        <v>102</v>
      </c>
      <c r="C201">
        <v>63</v>
      </c>
      <c r="D201">
        <v>6484.37</v>
      </c>
    </row>
    <row r="202" spans="1:4">
      <c r="A202" s="2">
        <v>45901</v>
      </c>
      <c r="B202" t="s">
        <v>102</v>
      </c>
      <c r="C202">
        <v>40</v>
      </c>
      <c r="D202">
        <v>4371.61</v>
      </c>
    </row>
    <row r="203" spans="1:4">
      <c r="A203" s="2">
        <v>45931</v>
      </c>
      <c r="B203" t="s">
        <v>102</v>
      </c>
      <c r="C203">
        <v>78</v>
      </c>
      <c r="D203">
        <v>10104.61</v>
      </c>
    </row>
    <row r="204" spans="1:4">
      <c r="A204" s="2">
        <v>45962</v>
      </c>
      <c r="B204" t="s">
        <v>102</v>
      </c>
      <c r="C204">
        <v>41</v>
      </c>
      <c r="D204">
        <v>5563.14</v>
      </c>
    </row>
    <row r="205" spans="1:4">
      <c r="A205" s="2">
        <v>45992</v>
      </c>
      <c r="B205" t="s">
        <v>102</v>
      </c>
      <c r="C205">
        <v>89</v>
      </c>
      <c r="D205">
        <v>8558.57</v>
      </c>
    </row>
    <row r="206" spans="1:4">
      <c r="A206" s="2">
        <v>45658</v>
      </c>
      <c r="B206" t="s">
        <v>104</v>
      </c>
      <c r="C206">
        <v>268</v>
      </c>
      <c r="D206">
        <v>38662.28</v>
      </c>
    </row>
    <row r="207" spans="1:4">
      <c r="A207" s="2">
        <v>45689</v>
      </c>
      <c r="B207" t="s">
        <v>104</v>
      </c>
      <c r="C207">
        <v>202</v>
      </c>
      <c r="D207">
        <v>27347.58</v>
      </c>
    </row>
    <row r="208" spans="1:4">
      <c r="A208" s="2">
        <v>45717</v>
      </c>
      <c r="B208" t="s">
        <v>104</v>
      </c>
      <c r="C208">
        <v>150</v>
      </c>
      <c r="D208">
        <v>17510.12</v>
      </c>
    </row>
    <row r="209" spans="1:4">
      <c r="A209" s="2">
        <v>45748</v>
      </c>
      <c r="B209" t="s">
        <v>104</v>
      </c>
      <c r="C209">
        <v>215</v>
      </c>
      <c r="D209">
        <v>30348.21</v>
      </c>
    </row>
    <row r="210" spans="1:4">
      <c r="A210" s="2">
        <v>45778</v>
      </c>
      <c r="B210" t="s">
        <v>104</v>
      </c>
      <c r="C210">
        <v>268</v>
      </c>
      <c r="D210">
        <v>36875.16</v>
      </c>
    </row>
    <row r="211" spans="1:4">
      <c r="A211" s="2">
        <v>45809</v>
      </c>
      <c r="B211" t="s">
        <v>104</v>
      </c>
      <c r="C211">
        <v>240</v>
      </c>
      <c r="D211">
        <v>27106.72</v>
      </c>
    </row>
    <row r="212" spans="1:4">
      <c r="A212" s="2">
        <v>45839</v>
      </c>
      <c r="B212" t="s">
        <v>104</v>
      </c>
      <c r="C212">
        <v>256</v>
      </c>
      <c r="D212">
        <v>25204.85</v>
      </c>
    </row>
    <row r="213" spans="1:4">
      <c r="A213" s="2">
        <v>45870</v>
      </c>
      <c r="B213" t="s">
        <v>104</v>
      </c>
      <c r="C213">
        <v>242</v>
      </c>
      <c r="D213">
        <v>33210.04</v>
      </c>
    </row>
    <row r="214" spans="1:4">
      <c r="A214" s="2">
        <v>45901</v>
      </c>
      <c r="B214" t="s">
        <v>104</v>
      </c>
      <c r="C214">
        <v>231</v>
      </c>
      <c r="D214">
        <v>23474.56</v>
      </c>
    </row>
    <row r="215" spans="1:4">
      <c r="A215" s="2">
        <v>45931</v>
      </c>
      <c r="B215" t="s">
        <v>104</v>
      </c>
      <c r="C215">
        <v>161</v>
      </c>
      <c r="D215">
        <v>16407.07</v>
      </c>
    </row>
    <row r="216" spans="1:4">
      <c r="A216" s="2">
        <v>45962</v>
      </c>
      <c r="B216" t="s">
        <v>104</v>
      </c>
      <c r="C216">
        <v>127</v>
      </c>
      <c r="D216">
        <v>15857.98</v>
      </c>
    </row>
    <row r="217" spans="1:4">
      <c r="A217" s="2">
        <v>45992</v>
      </c>
      <c r="B217" t="s">
        <v>104</v>
      </c>
      <c r="C217">
        <v>239</v>
      </c>
      <c r="D217">
        <v>26426.37</v>
      </c>
    </row>
    <row r="218" spans="1:4">
      <c r="A218" s="2">
        <v>45658</v>
      </c>
      <c r="B218" t="s">
        <v>106</v>
      </c>
      <c r="C218">
        <v>178</v>
      </c>
      <c r="D218">
        <v>17965.36</v>
      </c>
    </row>
    <row r="219" spans="1:4">
      <c r="A219" s="2">
        <v>45689</v>
      </c>
      <c r="B219" t="s">
        <v>106</v>
      </c>
      <c r="C219">
        <v>242</v>
      </c>
      <c r="D219">
        <v>35391.69</v>
      </c>
    </row>
    <row r="220" spans="1:4">
      <c r="A220" s="2">
        <v>45717</v>
      </c>
      <c r="B220" t="s">
        <v>106</v>
      </c>
      <c r="C220">
        <v>471</v>
      </c>
      <c r="D220">
        <v>47289.4</v>
      </c>
    </row>
    <row r="221" spans="1:4">
      <c r="A221" s="2">
        <v>45748</v>
      </c>
      <c r="B221" t="s">
        <v>106</v>
      </c>
      <c r="C221">
        <v>760</v>
      </c>
      <c r="D221">
        <v>103431.62</v>
      </c>
    </row>
    <row r="222" spans="1:4">
      <c r="A222" s="2">
        <v>45778</v>
      </c>
      <c r="B222" t="s">
        <v>106</v>
      </c>
      <c r="C222">
        <v>305</v>
      </c>
      <c r="D222">
        <v>36709.47</v>
      </c>
    </row>
    <row r="223" spans="1:4">
      <c r="A223" s="2">
        <v>45809</v>
      </c>
      <c r="B223" t="s">
        <v>106</v>
      </c>
      <c r="C223">
        <v>344</v>
      </c>
      <c r="D223">
        <v>45593.66</v>
      </c>
    </row>
    <row r="224" spans="1:4">
      <c r="A224" s="2">
        <v>45839</v>
      </c>
      <c r="B224" t="s">
        <v>106</v>
      </c>
      <c r="C224">
        <v>800</v>
      </c>
      <c r="D224">
        <v>77543.87</v>
      </c>
    </row>
    <row r="225" spans="1:4">
      <c r="A225" s="2">
        <v>45870</v>
      </c>
      <c r="B225" t="s">
        <v>106</v>
      </c>
      <c r="C225">
        <v>780</v>
      </c>
      <c r="D225">
        <v>109368.22</v>
      </c>
    </row>
    <row r="226" spans="1:4">
      <c r="A226" s="2">
        <v>45901</v>
      </c>
      <c r="B226" t="s">
        <v>106</v>
      </c>
      <c r="C226">
        <v>451</v>
      </c>
      <c r="D226">
        <v>61013.24</v>
      </c>
    </row>
    <row r="227" spans="1:4">
      <c r="A227" s="2">
        <v>45931</v>
      </c>
      <c r="B227" t="s">
        <v>106</v>
      </c>
      <c r="C227">
        <v>420</v>
      </c>
      <c r="D227">
        <v>63494.73</v>
      </c>
    </row>
    <row r="228" spans="1:4">
      <c r="A228" s="2">
        <v>45962</v>
      </c>
      <c r="B228" t="s">
        <v>106</v>
      </c>
      <c r="C228">
        <v>399</v>
      </c>
      <c r="D228">
        <v>40097.22</v>
      </c>
    </row>
    <row r="229" spans="1:4">
      <c r="A229" s="2">
        <v>45992</v>
      </c>
      <c r="B229" t="s">
        <v>106</v>
      </c>
      <c r="C229">
        <v>498</v>
      </c>
      <c r="D229">
        <v>56387.35</v>
      </c>
    </row>
    <row r="230" spans="1:4">
      <c r="A230" s="2">
        <v>45658</v>
      </c>
      <c r="B230" t="s">
        <v>108</v>
      </c>
      <c r="C230">
        <v>287</v>
      </c>
      <c r="D230">
        <v>32804.02</v>
      </c>
    </row>
    <row r="231" spans="1:4">
      <c r="A231" s="2">
        <v>45689</v>
      </c>
      <c r="B231" t="s">
        <v>108</v>
      </c>
      <c r="C231">
        <v>0</v>
      </c>
      <c r="D231">
        <v>0</v>
      </c>
    </row>
    <row r="232" spans="1:4">
      <c r="A232" s="2">
        <v>45717</v>
      </c>
      <c r="B232" t="s">
        <v>108</v>
      </c>
      <c r="C232">
        <v>273</v>
      </c>
      <c r="D232">
        <v>28287.08</v>
      </c>
    </row>
    <row r="233" spans="1:4">
      <c r="A233" s="2">
        <v>45748</v>
      </c>
      <c r="B233" t="s">
        <v>108</v>
      </c>
      <c r="C233">
        <v>403</v>
      </c>
      <c r="D233">
        <v>55747.97</v>
      </c>
    </row>
    <row r="234" spans="1:4">
      <c r="A234" s="2">
        <v>45778</v>
      </c>
      <c r="B234" t="s">
        <v>108</v>
      </c>
      <c r="C234">
        <v>132</v>
      </c>
      <c r="D234">
        <v>17257.64</v>
      </c>
    </row>
    <row r="235" spans="1:4">
      <c r="A235" s="2">
        <v>45809</v>
      </c>
      <c r="B235" t="s">
        <v>108</v>
      </c>
      <c r="C235">
        <v>306</v>
      </c>
      <c r="D235">
        <v>33551.68</v>
      </c>
    </row>
    <row r="236" spans="1:4">
      <c r="A236" s="2">
        <v>45839</v>
      </c>
      <c r="B236" t="s">
        <v>108</v>
      </c>
      <c r="C236">
        <v>452</v>
      </c>
      <c r="D236">
        <v>70258.54</v>
      </c>
    </row>
    <row r="237" spans="1:4">
      <c r="A237" s="2">
        <v>45870</v>
      </c>
      <c r="B237" t="s">
        <v>108</v>
      </c>
      <c r="C237">
        <v>201</v>
      </c>
      <c r="D237">
        <v>20813.4</v>
      </c>
    </row>
    <row r="238" spans="1:4">
      <c r="A238" s="2">
        <v>45901</v>
      </c>
      <c r="B238" t="s">
        <v>108</v>
      </c>
      <c r="C238">
        <v>356</v>
      </c>
      <c r="D238">
        <v>39193.31</v>
      </c>
    </row>
    <row r="239" spans="1:4">
      <c r="A239" s="2">
        <v>45931</v>
      </c>
      <c r="B239" t="s">
        <v>108</v>
      </c>
      <c r="C239">
        <v>183</v>
      </c>
      <c r="D239">
        <v>21090.56</v>
      </c>
    </row>
    <row r="240" spans="1:4">
      <c r="A240" s="2">
        <v>45962</v>
      </c>
      <c r="B240" t="s">
        <v>108</v>
      </c>
      <c r="C240">
        <v>351</v>
      </c>
      <c r="D240">
        <v>36163.88</v>
      </c>
    </row>
    <row r="241" spans="1:4">
      <c r="A241" s="2">
        <v>45992</v>
      </c>
      <c r="B241" t="s">
        <v>108</v>
      </c>
      <c r="C241">
        <v>397</v>
      </c>
      <c r="D241">
        <v>59561.14</v>
      </c>
    </row>
    <row r="242" spans="1:4">
      <c r="A242" s="2">
        <v>45658</v>
      </c>
      <c r="B242" t="s">
        <v>110</v>
      </c>
      <c r="C242">
        <v>569</v>
      </c>
      <c r="D242">
        <v>64792.66</v>
      </c>
    </row>
    <row r="243" spans="1:4">
      <c r="A243" s="2">
        <v>45689</v>
      </c>
      <c r="B243" t="s">
        <v>110</v>
      </c>
      <c r="C243">
        <v>517</v>
      </c>
      <c r="D243">
        <v>84134.85</v>
      </c>
    </row>
    <row r="244" spans="1:4">
      <c r="A244" s="2">
        <v>45717</v>
      </c>
      <c r="B244" t="s">
        <v>110</v>
      </c>
      <c r="C244">
        <v>578</v>
      </c>
      <c r="D244">
        <v>77541.04</v>
      </c>
    </row>
    <row r="245" spans="1:4">
      <c r="A245" s="2">
        <v>45748</v>
      </c>
      <c r="B245" t="s">
        <v>110</v>
      </c>
      <c r="C245">
        <v>703</v>
      </c>
      <c r="D245">
        <v>78522.39</v>
      </c>
    </row>
    <row r="246" spans="1:4">
      <c r="A246" s="2">
        <v>45778</v>
      </c>
      <c r="B246" t="s">
        <v>110</v>
      </c>
      <c r="C246">
        <v>419</v>
      </c>
      <c r="D246">
        <v>58170.72</v>
      </c>
    </row>
    <row r="247" spans="1:4">
      <c r="A247" s="2">
        <v>45809</v>
      </c>
      <c r="B247" t="s">
        <v>110</v>
      </c>
      <c r="C247">
        <v>526</v>
      </c>
      <c r="D247">
        <v>87555.84</v>
      </c>
    </row>
    <row r="248" spans="1:4">
      <c r="A248" s="2">
        <v>45839</v>
      </c>
      <c r="B248" t="s">
        <v>110</v>
      </c>
      <c r="C248">
        <v>527</v>
      </c>
      <c r="D248">
        <v>79097.89</v>
      </c>
    </row>
    <row r="249" spans="1:4">
      <c r="A249" s="2">
        <v>45870</v>
      </c>
      <c r="B249" t="s">
        <v>110</v>
      </c>
      <c r="C249">
        <v>781</v>
      </c>
      <c r="D249">
        <v>94519.17</v>
      </c>
    </row>
    <row r="250" spans="1:4">
      <c r="A250" s="2">
        <v>45901</v>
      </c>
      <c r="B250" t="s">
        <v>110</v>
      </c>
      <c r="C250">
        <v>4</v>
      </c>
      <c r="D250">
        <v>454.76</v>
      </c>
    </row>
    <row r="251" spans="1:4">
      <c r="A251" s="2">
        <v>45931</v>
      </c>
      <c r="B251" t="s">
        <v>110</v>
      </c>
      <c r="C251">
        <v>706</v>
      </c>
      <c r="D251">
        <v>119176.7</v>
      </c>
    </row>
    <row r="252" spans="1:4">
      <c r="A252" s="2">
        <v>45962</v>
      </c>
      <c r="B252" t="s">
        <v>110</v>
      </c>
      <c r="C252">
        <v>548</v>
      </c>
      <c r="D252">
        <v>84337.57</v>
      </c>
    </row>
    <row r="253" spans="1:4">
      <c r="A253" s="2">
        <v>45992</v>
      </c>
      <c r="B253" t="s">
        <v>110</v>
      </c>
      <c r="C253">
        <v>552</v>
      </c>
      <c r="D253">
        <v>92927.31</v>
      </c>
    </row>
    <row r="254" spans="1:4">
      <c r="A254" s="2">
        <v>45658</v>
      </c>
      <c r="B254" t="s">
        <v>112</v>
      </c>
      <c r="C254">
        <v>529</v>
      </c>
      <c r="D254">
        <v>62797.78</v>
      </c>
    </row>
    <row r="255" spans="1:4">
      <c r="A255" s="2">
        <v>45689</v>
      </c>
      <c r="B255" t="s">
        <v>112</v>
      </c>
      <c r="C255">
        <v>347</v>
      </c>
      <c r="D255">
        <v>31168.7</v>
      </c>
    </row>
    <row r="256" spans="1:4">
      <c r="A256" s="2">
        <v>45717</v>
      </c>
      <c r="B256" t="s">
        <v>112</v>
      </c>
      <c r="C256">
        <v>452</v>
      </c>
      <c r="D256">
        <v>42768.46</v>
      </c>
    </row>
    <row r="257" spans="1:4">
      <c r="A257" s="2">
        <v>45748</v>
      </c>
      <c r="B257" t="s">
        <v>112</v>
      </c>
      <c r="C257">
        <v>302</v>
      </c>
      <c r="D257">
        <v>34351.98</v>
      </c>
    </row>
    <row r="258" spans="1:4">
      <c r="A258" s="2">
        <v>45778</v>
      </c>
      <c r="B258" t="s">
        <v>112</v>
      </c>
      <c r="C258">
        <v>236</v>
      </c>
      <c r="D258">
        <v>28886.81</v>
      </c>
    </row>
    <row r="259" spans="1:4">
      <c r="A259" s="2">
        <v>45809</v>
      </c>
      <c r="B259" t="s">
        <v>112</v>
      </c>
      <c r="C259">
        <v>451</v>
      </c>
      <c r="D259">
        <v>55030.88</v>
      </c>
    </row>
    <row r="260" spans="1:4">
      <c r="A260" s="2">
        <v>45839</v>
      </c>
      <c r="B260" t="s">
        <v>112</v>
      </c>
      <c r="C260">
        <v>232</v>
      </c>
      <c r="D260">
        <v>26569.68</v>
      </c>
    </row>
    <row r="261" spans="1:4">
      <c r="A261" s="2">
        <v>45870</v>
      </c>
      <c r="B261" t="s">
        <v>112</v>
      </c>
      <c r="C261">
        <v>334</v>
      </c>
      <c r="D261">
        <v>30826.95</v>
      </c>
    </row>
    <row r="262" spans="1:4">
      <c r="A262" s="2">
        <v>45901</v>
      </c>
      <c r="B262" t="s">
        <v>112</v>
      </c>
      <c r="C262">
        <v>210</v>
      </c>
      <c r="D262">
        <v>24133.08</v>
      </c>
    </row>
    <row r="263" spans="1:4">
      <c r="A263" s="2">
        <v>45931</v>
      </c>
      <c r="B263" t="s">
        <v>112</v>
      </c>
      <c r="C263">
        <v>172</v>
      </c>
      <c r="D263">
        <v>16258.05</v>
      </c>
    </row>
    <row r="264" spans="1:4">
      <c r="A264" s="2">
        <v>45962</v>
      </c>
      <c r="B264" t="s">
        <v>112</v>
      </c>
      <c r="C264">
        <v>276</v>
      </c>
      <c r="D264">
        <v>28437.16</v>
      </c>
    </row>
    <row r="265" spans="1:4">
      <c r="A265" s="2">
        <v>45992</v>
      </c>
      <c r="B265" t="s">
        <v>112</v>
      </c>
      <c r="C265">
        <v>538</v>
      </c>
      <c r="D265">
        <v>50677.4</v>
      </c>
    </row>
    <row r="266" spans="1:4">
      <c r="A266" s="2">
        <v>45658</v>
      </c>
      <c r="B266" t="s">
        <v>114</v>
      </c>
      <c r="C266">
        <v>110</v>
      </c>
      <c r="D266">
        <v>993.26</v>
      </c>
    </row>
    <row r="267" spans="1:4">
      <c r="A267" s="2">
        <v>45689</v>
      </c>
      <c r="B267" t="s">
        <v>114</v>
      </c>
      <c r="C267">
        <v>81</v>
      </c>
      <c r="D267">
        <v>720.43</v>
      </c>
    </row>
    <row r="268" spans="1:4">
      <c r="A268" s="2">
        <v>45717</v>
      </c>
      <c r="B268" t="s">
        <v>114</v>
      </c>
      <c r="C268">
        <v>76</v>
      </c>
      <c r="D268">
        <v>805.52</v>
      </c>
    </row>
    <row r="269" spans="1:4">
      <c r="A269" s="2">
        <v>45748</v>
      </c>
      <c r="B269" t="s">
        <v>114</v>
      </c>
      <c r="C269">
        <v>104</v>
      </c>
      <c r="D269">
        <v>1310.42</v>
      </c>
    </row>
    <row r="270" spans="1:4">
      <c r="A270" s="2">
        <v>45778</v>
      </c>
      <c r="B270" t="s">
        <v>114</v>
      </c>
      <c r="C270">
        <v>65</v>
      </c>
      <c r="D270">
        <v>660.01</v>
      </c>
    </row>
    <row r="271" spans="1:4">
      <c r="A271" s="2">
        <v>45809</v>
      </c>
      <c r="B271" t="s">
        <v>114</v>
      </c>
      <c r="C271">
        <v>65</v>
      </c>
      <c r="D271">
        <v>718.91</v>
      </c>
    </row>
    <row r="272" spans="1:4">
      <c r="A272" s="2">
        <v>45839</v>
      </c>
      <c r="B272" t="s">
        <v>114</v>
      </c>
      <c r="C272">
        <v>89</v>
      </c>
      <c r="D272">
        <v>1196.03</v>
      </c>
    </row>
    <row r="273" spans="1:4">
      <c r="A273" s="2">
        <v>45870</v>
      </c>
      <c r="B273" t="s">
        <v>114</v>
      </c>
      <c r="C273">
        <v>57</v>
      </c>
      <c r="D273">
        <v>481.77</v>
      </c>
    </row>
    <row r="274" spans="1:4">
      <c r="A274" s="2">
        <v>45901</v>
      </c>
      <c r="B274" t="s">
        <v>114</v>
      </c>
      <c r="C274">
        <v>90</v>
      </c>
      <c r="D274">
        <v>1040.03</v>
      </c>
    </row>
    <row r="275" spans="1:4">
      <c r="A275" s="2">
        <v>45931</v>
      </c>
      <c r="B275" t="s">
        <v>114</v>
      </c>
      <c r="C275">
        <v>89</v>
      </c>
      <c r="D275">
        <v>1181.74</v>
      </c>
    </row>
    <row r="276" spans="1:4">
      <c r="A276" s="2">
        <v>45962</v>
      </c>
      <c r="B276" t="s">
        <v>114</v>
      </c>
      <c r="C276">
        <v>97</v>
      </c>
      <c r="D276">
        <v>1236.69</v>
      </c>
    </row>
    <row r="277" spans="1:4">
      <c r="A277" s="2">
        <v>45992</v>
      </c>
      <c r="B277" t="s">
        <v>114</v>
      </c>
      <c r="C277">
        <v>50</v>
      </c>
      <c r="D277">
        <v>539.97</v>
      </c>
    </row>
    <row r="278" spans="1:4">
      <c r="A278" s="2">
        <v>45658</v>
      </c>
      <c r="B278" t="s">
        <v>116</v>
      </c>
      <c r="C278">
        <v>118</v>
      </c>
      <c r="D278">
        <v>4495.22</v>
      </c>
    </row>
    <row r="279" spans="1:4">
      <c r="A279" s="2">
        <v>45689</v>
      </c>
      <c r="B279" t="s">
        <v>116</v>
      </c>
      <c r="C279">
        <v>155</v>
      </c>
      <c r="D279">
        <v>5352.27</v>
      </c>
    </row>
    <row r="280" spans="1:4">
      <c r="A280" s="2">
        <v>45717</v>
      </c>
      <c r="B280" t="s">
        <v>116</v>
      </c>
      <c r="C280">
        <v>217</v>
      </c>
      <c r="D280">
        <v>6878.93</v>
      </c>
    </row>
    <row r="281" spans="1:4">
      <c r="A281" s="2">
        <v>45748</v>
      </c>
      <c r="B281" t="s">
        <v>116</v>
      </c>
      <c r="C281">
        <v>121</v>
      </c>
      <c r="D281">
        <v>3575.18</v>
      </c>
    </row>
    <row r="282" spans="1:4">
      <c r="A282" s="2">
        <v>45778</v>
      </c>
      <c r="B282" t="s">
        <v>116</v>
      </c>
      <c r="C282">
        <v>46</v>
      </c>
      <c r="D282">
        <v>1493.11</v>
      </c>
    </row>
    <row r="283" spans="1:4">
      <c r="A283" s="2">
        <v>45809</v>
      </c>
      <c r="B283" t="s">
        <v>116</v>
      </c>
      <c r="C283">
        <v>157</v>
      </c>
      <c r="D283">
        <v>4400.44</v>
      </c>
    </row>
    <row r="284" spans="1:4">
      <c r="A284" s="2">
        <v>45839</v>
      </c>
      <c r="B284" t="s">
        <v>116</v>
      </c>
      <c r="C284">
        <v>49</v>
      </c>
      <c r="D284">
        <v>1977.92</v>
      </c>
    </row>
    <row r="285" spans="1:4">
      <c r="A285" s="2">
        <v>45870</v>
      </c>
      <c r="B285" t="s">
        <v>116</v>
      </c>
      <c r="C285">
        <v>200</v>
      </c>
      <c r="D285">
        <v>7663.81</v>
      </c>
    </row>
    <row r="286" spans="1:4">
      <c r="A286" s="2">
        <v>45901</v>
      </c>
      <c r="B286" t="s">
        <v>116</v>
      </c>
      <c r="C286">
        <v>150</v>
      </c>
      <c r="D286">
        <v>4749.49</v>
      </c>
    </row>
    <row r="287" spans="1:4">
      <c r="A287" s="2">
        <v>45931</v>
      </c>
      <c r="B287" t="s">
        <v>116</v>
      </c>
      <c r="C287">
        <v>146</v>
      </c>
      <c r="D287">
        <v>5744.75</v>
      </c>
    </row>
    <row r="288" spans="1:4">
      <c r="A288" s="2">
        <v>45962</v>
      </c>
      <c r="B288" t="s">
        <v>116</v>
      </c>
      <c r="C288">
        <v>120</v>
      </c>
      <c r="D288">
        <v>5115.33</v>
      </c>
    </row>
    <row r="289" spans="1:4">
      <c r="A289" s="2">
        <v>45992</v>
      </c>
      <c r="B289" t="s">
        <v>116</v>
      </c>
      <c r="C289">
        <v>91</v>
      </c>
      <c r="D289">
        <v>2547.41</v>
      </c>
    </row>
    <row r="290" spans="1:4">
      <c r="A290" s="2">
        <v>45658</v>
      </c>
      <c r="B290" t="s">
        <v>118</v>
      </c>
      <c r="C290">
        <v>233</v>
      </c>
      <c r="D290">
        <v>19527.46</v>
      </c>
    </row>
    <row r="291" spans="1:4">
      <c r="A291" s="2">
        <v>45689</v>
      </c>
      <c r="B291" t="s">
        <v>118</v>
      </c>
      <c r="C291">
        <v>105</v>
      </c>
      <c r="D291">
        <v>9699.98</v>
      </c>
    </row>
    <row r="292" spans="1:4">
      <c r="A292" s="2">
        <v>45717</v>
      </c>
      <c r="B292" t="s">
        <v>118</v>
      </c>
      <c r="C292">
        <v>139</v>
      </c>
      <c r="D292">
        <v>10555.93</v>
      </c>
    </row>
    <row r="293" spans="1:4">
      <c r="A293" s="2">
        <v>45748</v>
      </c>
      <c r="B293" t="s">
        <v>118</v>
      </c>
      <c r="C293">
        <v>254</v>
      </c>
      <c r="D293">
        <v>23835.36</v>
      </c>
    </row>
    <row r="294" spans="1:4">
      <c r="A294" s="2">
        <v>45778</v>
      </c>
      <c r="B294" t="s">
        <v>118</v>
      </c>
      <c r="C294">
        <v>166</v>
      </c>
      <c r="D294">
        <v>12540.49</v>
      </c>
    </row>
    <row r="295" spans="1:4">
      <c r="A295" s="2">
        <v>45809</v>
      </c>
      <c r="B295" t="s">
        <v>118</v>
      </c>
      <c r="C295">
        <v>214</v>
      </c>
      <c r="D295">
        <v>16706.58</v>
      </c>
    </row>
    <row r="296" spans="1:4">
      <c r="A296" s="2">
        <v>45839</v>
      </c>
      <c r="B296" t="s">
        <v>118</v>
      </c>
      <c r="C296">
        <v>213</v>
      </c>
      <c r="D296">
        <v>13785.31</v>
      </c>
    </row>
    <row r="297" spans="1:4">
      <c r="A297" s="2">
        <v>45870</v>
      </c>
      <c r="B297" t="s">
        <v>118</v>
      </c>
      <c r="C297">
        <v>196</v>
      </c>
      <c r="D297">
        <v>14716.88</v>
      </c>
    </row>
    <row r="298" spans="1:4">
      <c r="A298" s="2">
        <v>45901</v>
      </c>
      <c r="B298" t="s">
        <v>118</v>
      </c>
      <c r="C298">
        <v>190</v>
      </c>
      <c r="D298">
        <v>18899.85</v>
      </c>
    </row>
    <row r="299" spans="1:4">
      <c r="A299" s="2">
        <v>45931</v>
      </c>
      <c r="B299" t="s">
        <v>118</v>
      </c>
      <c r="C299">
        <v>245</v>
      </c>
      <c r="D299">
        <v>23987.62</v>
      </c>
    </row>
    <row r="300" spans="1:4">
      <c r="A300" s="2">
        <v>45962</v>
      </c>
      <c r="B300" t="s">
        <v>118</v>
      </c>
      <c r="C300">
        <v>247</v>
      </c>
      <c r="D300">
        <v>23560.68</v>
      </c>
    </row>
    <row r="301" spans="1:4">
      <c r="A301" s="2">
        <v>45992</v>
      </c>
      <c r="B301" t="s">
        <v>118</v>
      </c>
      <c r="C301">
        <v>134</v>
      </c>
      <c r="D301">
        <v>12072.19</v>
      </c>
    </row>
    <row r="302" spans="1:4">
      <c r="A302" s="2">
        <v>45658</v>
      </c>
      <c r="B302" t="s">
        <v>120</v>
      </c>
      <c r="C302">
        <v>265</v>
      </c>
      <c r="D302">
        <v>16566.17</v>
      </c>
    </row>
    <row r="303" spans="1:4">
      <c r="A303" s="2">
        <v>45689</v>
      </c>
      <c r="B303" t="s">
        <v>120</v>
      </c>
      <c r="C303">
        <v>567</v>
      </c>
      <c r="D303">
        <v>44624.98</v>
      </c>
    </row>
    <row r="304" spans="1:4">
      <c r="A304" s="2">
        <v>45717</v>
      </c>
      <c r="B304" t="s">
        <v>120</v>
      </c>
      <c r="C304">
        <v>269</v>
      </c>
      <c r="D304">
        <v>17151.85</v>
      </c>
    </row>
    <row r="305" spans="1:4">
      <c r="A305" s="2">
        <v>45748</v>
      </c>
      <c r="B305" t="s">
        <v>120</v>
      </c>
      <c r="C305">
        <v>242</v>
      </c>
      <c r="D305">
        <v>17493.45</v>
      </c>
    </row>
    <row r="306" spans="1:4">
      <c r="A306" s="2">
        <v>45778</v>
      </c>
      <c r="B306" t="s">
        <v>120</v>
      </c>
      <c r="C306">
        <v>415</v>
      </c>
      <c r="D306">
        <v>21164.29</v>
      </c>
    </row>
    <row r="307" spans="1:4">
      <c r="A307" s="2">
        <v>45809</v>
      </c>
      <c r="B307" t="s">
        <v>120</v>
      </c>
      <c r="C307">
        <v>317</v>
      </c>
      <c r="D307">
        <v>20220.65</v>
      </c>
    </row>
    <row r="308" spans="1:4">
      <c r="A308" s="2">
        <v>45839</v>
      </c>
      <c r="B308" t="s">
        <v>120</v>
      </c>
      <c r="C308">
        <v>128</v>
      </c>
      <c r="D308">
        <v>7272.25</v>
      </c>
    </row>
    <row r="309" spans="1:4">
      <c r="A309" s="2">
        <v>45870</v>
      </c>
      <c r="B309" t="s">
        <v>120</v>
      </c>
      <c r="C309">
        <v>454</v>
      </c>
      <c r="D309">
        <v>32419.77</v>
      </c>
    </row>
    <row r="310" spans="1:4">
      <c r="A310" s="2">
        <v>45901</v>
      </c>
      <c r="B310" t="s">
        <v>120</v>
      </c>
      <c r="C310">
        <v>222</v>
      </c>
      <c r="D310">
        <v>11798.27</v>
      </c>
    </row>
    <row r="311" spans="1:4">
      <c r="A311" s="2">
        <v>45931</v>
      </c>
      <c r="B311" t="s">
        <v>120</v>
      </c>
      <c r="C311">
        <v>136</v>
      </c>
      <c r="D311">
        <v>9372.53</v>
      </c>
    </row>
    <row r="312" spans="1:4">
      <c r="A312" s="2">
        <v>45962</v>
      </c>
      <c r="B312" t="s">
        <v>120</v>
      </c>
      <c r="C312">
        <v>352</v>
      </c>
      <c r="D312">
        <v>20746.46</v>
      </c>
    </row>
    <row r="313" spans="1:4">
      <c r="A313" s="2">
        <v>45992</v>
      </c>
      <c r="B313" t="s">
        <v>120</v>
      </c>
      <c r="C313">
        <v>231</v>
      </c>
      <c r="D313">
        <v>18100.05</v>
      </c>
    </row>
    <row r="314" spans="1:4">
      <c r="A314" s="2">
        <v>45658</v>
      </c>
      <c r="B314" t="s">
        <v>122</v>
      </c>
      <c r="C314">
        <v>211</v>
      </c>
      <c r="D314">
        <v>3673.47</v>
      </c>
    </row>
    <row r="315" spans="1:4">
      <c r="A315" s="2">
        <v>45689</v>
      </c>
      <c r="B315" t="s">
        <v>122</v>
      </c>
      <c r="C315">
        <v>353</v>
      </c>
      <c r="D315">
        <v>6881.3</v>
      </c>
    </row>
    <row r="316" spans="1:4">
      <c r="A316" s="2">
        <v>45717</v>
      </c>
      <c r="B316" t="s">
        <v>122</v>
      </c>
      <c r="C316">
        <v>335</v>
      </c>
      <c r="D316">
        <v>6092.45</v>
      </c>
    </row>
    <row r="317" spans="1:4">
      <c r="A317" s="2">
        <v>45748</v>
      </c>
      <c r="B317" t="s">
        <v>122</v>
      </c>
      <c r="C317">
        <v>361</v>
      </c>
      <c r="D317">
        <v>5104.74</v>
      </c>
    </row>
    <row r="318" spans="1:4">
      <c r="A318" s="2">
        <v>45778</v>
      </c>
      <c r="B318" t="s">
        <v>122</v>
      </c>
      <c r="C318">
        <v>270</v>
      </c>
      <c r="D318">
        <v>4918.41</v>
      </c>
    </row>
    <row r="319" spans="1:4">
      <c r="A319" s="2">
        <v>45809</v>
      </c>
      <c r="B319" t="s">
        <v>122</v>
      </c>
      <c r="C319">
        <v>430</v>
      </c>
      <c r="D319">
        <v>7149.65</v>
      </c>
    </row>
    <row r="320" spans="1:4">
      <c r="A320" s="2">
        <v>45839</v>
      </c>
      <c r="B320" t="s">
        <v>122</v>
      </c>
      <c r="C320">
        <v>397</v>
      </c>
      <c r="D320">
        <v>6919.22</v>
      </c>
    </row>
    <row r="321" spans="1:4">
      <c r="A321" s="2">
        <v>45870</v>
      </c>
      <c r="B321" t="s">
        <v>122</v>
      </c>
      <c r="C321">
        <v>410</v>
      </c>
      <c r="D321">
        <v>8154.18</v>
      </c>
    </row>
    <row r="322" spans="1:4">
      <c r="A322" s="2">
        <v>45901</v>
      </c>
      <c r="B322" t="s">
        <v>122</v>
      </c>
      <c r="C322">
        <v>145</v>
      </c>
      <c r="D322">
        <v>1931.77</v>
      </c>
    </row>
    <row r="323" spans="1:4">
      <c r="A323" s="2">
        <v>45931</v>
      </c>
      <c r="B323" t="s">
        <v>122</v>
      </c>
      <c r="C323">
        <v>414</v>
      </c>
      <c r="D323">
        <v>6851.97</v>
      </c>
    </row>
    <row r="324" spans="1:4">
      <c r="A324" s="2">
        <v>45962</v>
      </c>
      <c r="B324" t="s">
        <v>122</v>
      </c>
      <c r="C324">
        <v>439</v>
      </c>
      <c r="D324">
        <v>8126.58</v>
      </c>
    </row>
    <row r="325" spans="1:4">
      <c r="A325" s="2">
        <v>45992</v>
      </c>
      <c r="B325" t="s">
        <v>122</v>
      </c>
      <c r="C325">
        <v>276</v>
      </c>
      <c r="D325">
        <v>4500.02</v>
      </c>
    </row>
    <row r="326" spans="1:4">
      <c r="A326" s="2">
        <v>45658</v>
      </c>
      <c r="B326" t="s">
        <v>124</v>
      </c>
      <c r="C326">
        <v>171</v>
      </c>
      <c r="D326">
        <v>17628.84</v>
      </c>
    </row>
    <row r="327" spans="1:4">
      <c r="A327" s="2">
        <v>45689</v>
      </c>
      <c r="B327" t="s">
        <v>124</v>
      </c>
      <c r="C327">
        <v>109</v>
      </c>
      <c r="D327">
        <v>10763.94</v>
      </c>
    </row>
    <row r="328" spans="1:4">
      <c r="A328" s="2">
        <v>45717</v>
      </c>
      <c r="B328" t="s">
        <v>124</v>
      </c>
      <c r="C328">
        <v>202</v>
      </c>
      <c r="D328">
        <v>21133.21</v>
      </c>
    </row>
    <row r="329" spans="1:4">
      <c r="A329" s="2">
        <v>45748</v>
      </c>
      <c r="B329" t="s">
        <v>124</v>
      </c>
      <c r="C329">
        <v>282</v>
      </c>
      <c r="D329">
        <v>42662.41</v>
      </c>
    </row>
    <row r="330" spans="1:4">
      <c r="A330" s="2">
        <v>45778</v>
      </c>
      <c r="B330" t="s">
        <v>124</v>
      </c>
      <c r="C330">
        <v>280</v>
      </c>
      <c r="D330">
        <v>41163.36</v>
      </c>
    </row>
    <row r="331" spans="1:4">
      <c r="A331" s="2">
        <v>45809</v>
      </c>
      <c r="B331" t="s">
        <v>124</v>
      </c>
      <c r="C331">
        <v>183</v>
      </c>
      <c r="D331">
        <v>22222.14</v>
      </c>
    </row>
    <row r="332" spans="1:4">
      <c r="A332" s="2">
        <v>45839</v>
      </c>
      <c r="B332" t="s">
        <v>124</v>
      </c>
      <c r="C332">
        <v>158</v>
      </c>
      <c r="D332">
        <v>16553.41</v>
      </c>
    </row>
    <row r="333" spans="1:4">
      <c r="A333" s="2">
        <v>45870</v>
      </c>
      <c r="B333" t="s">
        <v>124</v>
      </c>
      <c r="C333">
        <v>474</v>
      </c>
      <c r="D333">
        <v>71320.13</v>
      </c>
    </row>
    <row r="334" spans="1:4">
      <c r="A334" s="2">
        <v>45901</v>
      </c>
      <c r="B334" t="s">
        <v>124</v>
      </c>
      <c r="C334">
        <v>374</v>
      </c>
      <c r="D334">
        <v>50592.02</v>
      </c>
    </row>
    <row r="335" spans="1:4">
      <c r="A335" s="2">
        <v>45931</v>
      </c>
      <c r="B335" t="s">
        <v>124</v>
      </c>
      <c r="C335">
        <v>369</v>
      </c>
      <c r="D335">
        <v>38168.31</v>
      </c>
    </row>
    <row r="336" spans="1:4">
      <c r="A336" s="2">
        <v>45962</v>
      </c>
      <c r="B336" t="s">
        <v>124</v>
      </c>
      <c r="C336">
        <v>337</v>
      </c>
      <c r="D336">
        <v>39624.93</v>
      </c>
    </row>
    <row r="337" spans="1:4">
      <c r="A337" s="2">
        <v>45992</v>
      </c>
      <c r="B337" t="s">
        <v>124</v>
      </c>
      <c r="C337">
        <v>262</v>
      </c>
      <c r="D337">
        <v>38360.84</v>
      </c>
    </row>
    <row r="338" spans="1:4">
      <c r="A338" s="2">
        <v>45658</v>
      </c>
      <c r="B338" t="s">
        <v>126</v>
      </c>
      <c r="C338">
        <v>253</v>
      </c>
      <c r="D338">
        <v>27420.99</v>
      </c>
    </row>
    <row r="339" spans="1:4">
      <c r="A339" s="2">
        <v>45689</v>
      </c>
      <c r="B339" t="s">
        <v>126</v>
      </c>
      <c r="C339">
        <v>171</v>
      </c>
      <c r="D339">
        <v>23234.28</v>
      </c>
    </row>
    <row r="340" spans="1:4">
      <c r="A340" s="2">
        <v>45717</v>
      </c>
      <c r="B340" t="s">
        <v>126</v>
      </c>
      <c r="C340">
        <v>117</v>
      </c>
      <c r="D340">
        <v>14271.35</v>
      </c>
    </row>
    <row r="341" spans="1:4">
      <c r="A341" s="2">
        <v>45748</v>
      </c>
      <c r="B341" t="s">
        <v>126</v>
      </c>
      <c r="C341">
        <v>122</v>
      </c>
      <c r="D341">
        <v>16620.77</v>
      </c>
    </row>
    <row r="342" spans="1:4">
      <c r="A342" s="2">
        <v>45778</v>
      </c>
      <c r="B342" t="s">
        <v>126</v>
      </c>
      <c r="C342">
        <v>160</v>
      </c>
      <c r="D342">
        <v>24878.71</v>
      </c>
    </row>
    <row r="343" spans="1:4">
      <c r="A343" s="2">
        <v>45809</v>
      </c>
      <c r="B343" t="s">
        <v>126</v>
      </c>
      <c r="C343">
        <v>140</v>
      </c>
      <c r="D343">
        <v>19059.28</v>
      </c>
    </row>
    <row r="344" spans="1:4">
      <c r="A344" s="2">
        <v>45839</v>
      </c>
      <c r="B344" t="s">
        <v>126</v>
      </c>
      <c r="C344">
        <v>208</v>
      </c>
      <c r="D344">
        <v>31077.85</v>
      </c>
    </row>
    <row r="345" spans="1:4">
      <c r="A345" s="2">
        <v>45870</v>
      </c>
      <c r="B345" t="s">
        <v>126</v>
      </c>
      <c r="C345">
        <v>36</v>
      </c>
      <c r="D345">
        <v>5206.57</v>
      </c>
    </row>
    <row r="346" spans="1:4">
      <c r="A346" s="2">
        <v>45901</v>
      </c>
      <c r="B346" t="s">
        <v>126</v>
      </c>
      <c r="C346">
        <v>230</v>
      </c>
      <c r="D346">
        <v>38303.77</v>
      </c>
    </row>
    <row r="347" spans="1:4">
      <c r="A347" s="2">
        <v>45931</v>
      </c>
      <c r="B347" t="s">
        <v>126</v>
      </c>
      <c r="C347">
        <v>174</v>
      </c>
      <c r="D347">
        <v>22797.56</v>
      </c>
    </row>
    <row r="348" spans="1:4">
      <c r="A348" s="2">
        <v>45962</v>
      </c>
      <c r="B348" t="s">
        <v>126</v>
      </c>
      <c r="C348">
        <v>136</v>
      </c>
      <c r="D348">
        <v>19282.96</v>
      </c>
    </row>
    <row r="349" spans="1:4">
      <c r="A349" s="2">
        <v>45992</v>
      </c>
      <c r="B349" t="s">
        <v>126</v>
      </c>
      <c r="C349">
        <v>168</v>
      </c>
      <c r="D349">
        <v>20724.21</v>
      </c>
    </row>
    <row r="350" spans="1:4">
      <c r="A350" s="2">
        <v>45658</v>
      </c>
      <c r="B350" t="s">
        <v>128</v>
      </c>
      <c r="C350">
        <v>590</v>
      </c>
      <c r="D350">
        <v>37436.84</v>
      </c>
    </row>
    <row r="351" spans="1:4">
      <c r="A351" s="2">
        <v>45689</v>
      </c>
      <c r="B351" t="s">
        <v>128</v>
      </c>
      <c r="C351">
        <v>860</v>
      </c>
      <c r="D351">
        <v>51678.51</v>
      </c>
    </row>
    <row r="352" spans="1:4">
      <c r="A352" s="2">
        <v>45717</v>
      </c>
      <c r="B352" t="s">
        <v>128</v>
      </c>
      <c r="C352">
        <v>948</v>
      </c>
      <c r="D352">
        <v>41154.3</v>
      </c>
    </row>
    <row r="353" spans="1:4">
      <c r="A353" s="2">
        <v>45748</v>
      </c>
      <c r="B353" t="s">
        <v>128</v>
      </c>
      <c r="C353">
        <v>729</v>
      </c>
      <c r="D353">
        <v>35311.51</v>
      </c>
    </row>
    <row r="354" spans="1:4">
      <c r="A354" s="2">
        <v>45778</v>
      </c>
      <c r="B354" t="s">
        <v>128</v>
      </c>
      <c r="C354">
        <v>906</v>
      </c>
      <c r="D354">
        <v>54418.54</v>
      </c>
    </row>
    <row r="355" spans="1:4">
      <c r="A355" s="2">
        <v>45809</v>
      </c>
      <c r="B355" t="s">
        <v>128</v>
      </c>
      <c r="C355">
        <v>765</v>
      </c>
      <c r="D355">
        <v>32986.77</v>
      </c>
    </row>
    <row r="356" spans="1:4">
      <c r="A356" s="2">
        <v>45839</v>
      </c>
      <c r="B356" t="s">
        <v>128</v>
      </c>
      <c r="C356">
        <v>753</v>
      </c>
      <c r="D356">
        <v>48025.36</v>
      </c>
    </row>
    <row r="357" spans="1:4">
      <c r="A357" s="2">
        <v>45870</v>
      </c>
      <c r="B357" t="s">
        <v>128</v>
      </c>
      <c r="C357">
        <v>639</v>
      </c>
      <c r="D357">
        <v>26786.44</v>
      </c>
    </row>
    <row r="358" spans="1:4">
      <c r="A358" s="2">
        <v>45901</v>
      </c>
      <c r="B358" t="s">
        <v>128</v>
      </c>
      <c r="C358">
        <v>751</v>
      </c>
      <c r="D358">
        <v>33319.55</v>
      </c>
    </row>
    <row r="359" spans="1:4">
      <c r="A359" s="2">
        <v>45931</v>
      </c>
      <c r="B359" t="s">
        <v>128</v>
      </c>
      <c r="C359">
        <v>670</v>
      </c>
      <c r="D359">
        <v>32798.82</v>
      </c>
    </row>
    <row r="360" spans="1:4">
      <c r="A360" s="2">
        <v>45962</v>
      </c>
      <c r="B360" t="s">
        <v>128</v>
      </c>
      <c r="C360">
        <v>702</v>
      </c>
      <c r="D360">
        <v>33203.24</v>
      </c>
    </row>
    <row r="361" spans="1:4">
      <c r="A361" s="2">
        <v>45992</v>
      </c>
      <c r="B361" t="s">
        <v>128</v>
      </c>
      <c r="C361">
        <v>852</v>
      </c>
      <c r="D361">
        <v>43002.22</v>
      </c>
    </row>
    <row r="362" spans="1:4">
      <c r="A362" s="2">
        <v>45658</v>
      </c>
      <c r="B362" t="s">
        <v>130</v>
      </c>
      <c r="C362">
        <v>315</v>
      </c>
      <c r="D362">
        <v>26297.12</v>
      </c>
    </row>
    <row r="363" spans="1:4">
      <c r="A363" s="2">
        <v>45689</v>
      </c>
      <c r="B363" t="s">
        <v>130</v>
      </c>
      <c r="C363">
        <v>729</v>
      </c>
      <c r="D363">
        <v>45305.55</v>
      </c>
    </row>
    <row r="364" spans="1:4">
      <c r="A364" s="2">
        <v>45717</v>
      </c>
      <c r="B364" t="s">
        <v>130</v>
      </c>
      <c r="C364">
        <v>658</v>
      </c>
      <c r="D364">
        <v>36436.15</v>
      </c>
    </row>
    <row r="365" spans="1:4">
      <c r="A365" s="2">
        <v>45748</v>
      </c>
      <c r="B365" t="s">
        <v>130</v>
      </c>
      <c r="C365">
        <v>171</v>
      </c>
      <c r="D365">
        <v>10135.52</v>
      </c>
    </row>
    <row r="366" spans="1:4">
      <c r="A366" s="2">
        <v>45778</v>
      </c>
      <c r="B366" t="s">
        <v>130</v>
      </c>
      <c r="C366">
        <v>514</v>
      </c>
      <c r="D366">
        <v>42702.05</v>
      </c>
    </row>
    <row r="367" spans="1:4">
      <c r="A367" s="2">
        <v>45809</v>
      </c>
      <c r="B367" t="s">
        <v>130</v>
      </c>
      <c r="C367">
        <v>304</v>
      </c>
      <c r="D367">
        <v>17985.61</v>
      </c>
    </row>
    <row r="368" spans="1:4">
      <c r="A368" s="2">
        <v>45839</v>
      </c>
      <c r="B368" t="s">
        <v>130</v>
      </c>
      <c r="C368">
        <v>498</v>
      </c>
      <c r="D368">
        <v>30759.42</v>
      </c>
    </row>
    <row r="369" spans="1:4">
      <c r="A369" s="2">
        <v>45870</v>
      </c>
      <c r="B369" t="s">
        <v>130</v>
      </c>
      <c r="C369">
        <v>758</v>
      </c>
      <c r="D369">
        <v>47137.15</v>
      </c>
    </row>
    <row r="370" spans="1:4">
      <c r="A370" s="2">
        <v>45901</v>
      </c>
      <c r="B370" t="s">
        <v>130</v>
      </c>
      <c r="C370">
        <v>302</v>
      </c>
      <c r="D370">
        <v>18031.6</v>
      </c>
    </row>
    <row r="371" spans="1:4">
      <c r="A371" s="2">
        <v>45931</v>
      </c>
      <c r="B371" t="s">
        <v>130</v>
      </c>
      <c r="C371">
        <v>449</v>
      </c>
      <c r="D371">
        <v>25243.62</v>
      </c>
    </row>
    <row r="372" spans="1:4">
      <c r="A372" s="2">
        <v>45962</v>
      </c>
      <c r="B372" t="s">
        <v>130</v>
      </c>
      <c r="C372">
        <v>376</v>
      </c>
      <c r="D372">
        <v>20098.68</v>
      </c>
    </row>
    <row r="373" spans="1:4">
      <c r="A373" s="2">
        <v>45992</v>
      </c>
      <c r="B373" t="s">
        <v>130</v>
      </c>
      <c r="C373">
        <v>472</v>
      </c>
      <c r="D373">
        <v>36567.99</v>
      </c>
    </row>
    <row r="374" spans="1:4">
      <c r="A374" s="2">
        <v>45658</v>
      </c>
      <c r="B374" t="s">
        <v>132</v>
      </c>
      <c r="C374">
        <v>461</v>
      </c>
      <c r="D374">
        <v>42591.5</v>
      </c>
    </row>
    <row r="375" spans="1:4">
      <c r="A375" s="2">
        <v>45689</v>
      </c>
      <c r="B375" t="s">
        <v>132</v>
      </c>
      <c r="C375">
        <v>144</v>
      </c>
      <c r="D375">
        <v>9781.22</v>
      </c>
    </row>
    <row r="376" spans="1:4">
      <c r="A376" s="2">
        <v>45717</v>
      </c>
      <c r="B376" t="s">
        <v>132</v>
      </c>
      <c r="C376">
        <v>472</v>
      </c>
      <c r="D376">
        <v>42532.94</v>
      </c>
    </row>
    <row r="377" spans="1:4">
      <c r="A377" s="2">
        <v>45748</v>
      </c>
      <c r="B377" t="s">
        <v>132</v>
      </c>
      <c r="C377">
        <v>656</v>
      </c>
      <c r="D377">
        <v>41205.02</v>
      </c>
    </row>
    <row r="378" spans="1:4">
      <c r="A378" s="2">
        <v>45778</v>
      </c>
      <c r="B378" t="s">
        <v>132</v>
      </c>
      <c r="C378">
        <v>573</v>
      </c>
      <c r="D378">
        <v>55731.37</v>
      </c>
    </row>
    <row r="379" spans="1:4">
      <c r="A379" s="2">
        <v>45809</v>
      </c>
      <c r="B379" t="s">
        <v>132</v>
      </c>
      <c r="C379">
        <v>391</v>
      </c>
      <c r="D379">
        <v>30336.19</v>
      </c>
    </row>
    <row r="380" spans="1:4">
      <c r="A380" s="2">
        <v>45839</v>
      </c>
      <c r="B380" t="s">
        <v>132</v>
      </c>
      <c r="C380">
        <v>332</v>
      </c>
      <c r="D380">
        <v>20762.72</v>
      </c>
    </row>
    <row r="381" spans="1:4">
      <c r="A381" s="2">
        <v>45870</v>
      </c>
      <c r="B381" t="s">
        <v>132</v>
      </c>
      <c r="C381">
        <v>654</v>
      </c>
      <c r="D381">
        <v>61053.45</v>
      </c>
    </row>
    <row r="382" spans="1:4">
      <c r="A382" s="2">
        <v>45901</v>
      </c>
      <c r="B382" t="s">
        <v>132</v>
      </c>
      <c r="C382">
        <v>415</v>
      </c>
      <c r="D382">
        <v>39615.19</v>
      </c>
    </row>
    <row r="383" spans="1:4">
      <c r="A383" s="2">
        <v>45931</v>
      </c>
      <c r="B383" t="s">
        <v>132</v>
      </c>
      <c r="C383">
        <v>747</v>
      </c>
      <c r="D383">
        <v>48905.26</v>
      </c>
    </row>
    <row r="384" spans="1:4">
      <c r="A384" s="2">
        <v>45962</v>
      </c>
      <c r="B384" t="s">
        <v>132</v>
      </c>
      <c r="C384">
        <v>386</v>
      </c>
      <c r="D384">
        <v>31183.12</v>
      </c>
    </row>
    <row r="385" spans="1:4">
      <c r="A385" s="2">
        <v>45992</v>
      </c>
      <c r="B385" t="s">
        <v>132</v>
      </c>
      <c r="C385">
        <v>361</v>
      </c>
      <c r="D385">
        <v>27015.07</v>
      </c>
    </row>
    <row r="386" spans="1:4">
      <c r="A386" s="2">
        <v>45658</v>
      </c>
      <c r="B386" t="s">
        <v>134</v>
      </c>
      <c r="C386">
        <v>139</v>
      </c>
      <c r="D386">
        <v>7421.81</v>
      </c>
    </row>
    <row r="387" spans="1:4">
      <c r="A387" s="2">
        <v>45689</v>
      </c>
      <c r="B387" t="s">
        <v>134</v>
      </c>
      <c r="C387">
        <v>281</v>
      </c>
      <c r="D387">
        <v>14795.24</v>
      </c>
    </row>
    <row r="388" spans="1:4">
      <c r="A388" s="2">
        <v>45717</v>
      </c>
      <c r="B388" t="s">
        <v>134</v>
      </c>
      <c r="C388">
        <v>228</v>
      </c>
      <c r="D388">
        <v>15421.46</v>
      </c>
    </row>
    <row r="389" spans="1:4">
      <c r="A389" s="2">
        <v>45748</v>
      </c>
      <c r="B389" t="s">
        <v>134</v>
      </c>
      <c r="C389">
        <v>221</v>
      </c>
      <c r="D389">
        <v>13044.89</v>
      </c>
    </row>
    <row r="390" spans="1:4">
      <c r="A390" s="2">
        <v>45778</v>
      </c>
      <c r="B390" t="s">
        <v>134</v>
      </c>
      <c r="C390">
        <v>336</v>
      </c>
      <c r="D390">
        <v>15182.6</v>
      </c>
    </row>
    <row r="391" spans="1:4">
      <c r="A391" s="2">
        <v>45809</v>
      </c>
      <c r="B391" t="s">
        <v>134</v>
      </c>
      <c r="C391">
        <v>236</v>
      </c>
      <c r="D391">
        <v>15992.33</v>
      </c>
    </row>
    <row r="392" spans="1:4">
      <c r="A392" s="2">
        <v>45839</v>
      </c>
      <c r="B392" t="s">
        <v>134</v>
      </c>
      <c r="C392">
        <v>301</v>
      </c>
      <c r="D392">
        <v>17708.6</v>
      </c>
    </row>
    <row r="393" spans="1:4">
      <c r="A393" s="2">
        <v>45870</v>
      </c>
      <c r="B393" t="s">
        <v>134</v>
      </c>
      <c r="C393">
        <v>249</v>
      </c>
      <c r="D393">
        <v>12798.55</v>
      </c>
    </row>
    <row r="394" spans="1:4">
      <c r="A394" s="2">
        <v>45901</v>
      </c>
      <c r="B394" t="s">
        <v>134</v>
      </c>
      <c r="C394">
        <v>252</v>
      </c>
      <c r="D394">
        <v>12400.1</v>
      </c>
    </row>
    <row r="395" spans="1:4">
      <c r="A395" s="2">
        <v>45931</v>
      </c>
      <c r="B395" t="s">
        <v>134</v>
      </c>
      <c r="C395">
        <v>129</v>
      </c>
      <c r="D395">
        <v>6283.33</v>
      </c>
    </row>
    <row r="396" spans="1:4">
      <c r="A396" s="2">
        <v>45962</v>
      </c>
      <c r="B396" t="s">
        <v>134</v>
      </c>
      <c r="C396">
        <v>32</v>
      </c>
      <c r="D396">
        <v>2093.68</v>
      </c>
    </row>
    <row r="397" spans="1:4">
      <c r="A397" s="2">
        <v>45992</v>
      </c>
      <c r="B397" t="s">
        <v>134</v>
      </c>
      <c r="C397">
        <v>246</v>
      </c>
      <c r="D397">
        <v>15563.66</v>
      </c>
    </row>
    <row r="398" spans="1:4">
      <c r="A398" s="2">
        <v>45658</v>
      </c>
      <c r="B398" t="s">
        <v>136</v>
      </c>
      <c r="C398">
        <v>206</v>
      </c>
      <c r="D398">
        <v>13785.76</v>
      </c>
    </row>
    <row r="399" spans="1:4">
      <c r="A399" s="2">
        <v>45689</v>
      </c>
      <c r="B399" t="s">
        <v>136</v>
      </c>
      <c r="C399">
        <v>204</v>
      </c>
      <c r="D399">
        <v>15687.7</v>
      </c>
    </row>
    <row r="400" spans="1:4">
      <c r="A400" s="2">
        <v>45717</v>
      </c>
      <c r="B400" t="s">
        <v>136</v>
      </c>
      <c r="C400">
        <v>251</v>
      </c>
      <c r="D400">
        <v>15304.01</v>
      </c>
    </row>
    <row r="401" spans="1:4">
      <c r="A401" s="2">
        <v>45748</v>
      </c>
      <c r="B401" t="s">
        <v>136</v>
      </c>
      <c r="C401">
        <v>117</v>
      </c>
      <c r="D401">
        <v>7797.79</v>
      </c>
    </row>
    <row r="402" spans="1:4">
      <c r="A402" s="2">
        <v>45778</v>
      </c>
      <c r="B402" t="s">
        <v>136</v>
      </c>
      <c r="C402">
        <v>75</v>
      </c>
      <c r="D402">
        <v>5014.09</v>
      </c>
    </row>
    <row r="403" spans="1:4">
      <c r="A403" s="2">
        <v>45809</v>
      </c>
      <c r="B403" t="s">
        <v>136</v>
      </c>
      <c r="C403">
        <v>68</v>
      </c>
      <c r="D403">
        <v>5311.34</v>
      </c>
    </row>
    <row r="404" spans="1:4">
      <c r="A404" s="2">
        <v>45839</v>
      </c>
      <c r="B404" t="s">
        <v>136</v>
      </c>
      <c r="C404">
        <v>201</v>
      </c>
      <c r="D404">
        <v>13650.17</v>
      </c>
    </row>
    <row r="405" spans="1:4">
      <c r="A405" s="2">
        <v>45870</v>
      </c>
      <c r="B405" t="s">
        <v>136</v>
      </c>
      <c r="C405">
        <v>326</v>
      </c>
      <c r="D405">
        <v>23900.01</v>
      </c>
    </row>
    <row r="406" spans="1:4">
      <c r="A406" s="2">
        <v>45901</v>
      </c>
      <c r="B406" t="s">
        <v>136</v>
      </c>
      <c r="C406">
        <v>130</v>
      </c>
      <c r="D406">
        <v>10285.27</v>
      </c>
    </row>
    <row r="407" spans="1:4">
      <c r="A407" s="2">
        <v>45931</v>
      </c>
      <c r="B407" t="s">
        <v>136</v>
      </c>
      <c r="C407">
        <v>133</v>
      </c>
      <c r="D407">
        <v>8440.19</v>
      </c>
    </row>
    <row r="408" spans="1:4">
      <c r="A408" s="2">
        <v>45962</v>
      </c>
      <c r="B408" t="s">
        <v>136</v>
      </c>
      <c r="C408">
        <v>204</v>
      </c>
      <c r="D408">
        <v>13180.54</v>
      </c>
    </row>
    <row r="409" spans="1:4">
      <c r="A409" s="2">
        <v>45992</v>
      </c>
      <c r="B409" t="s">
        <v>136</v>
      </c>
      <c r="C409">
        <v>188</v>
      </c>
      <c r="D409">
        <v>14832.16</v>
      </c>
    </row>
    <row r="410" spans="1:4">
      <c r="A410" s="2">
        <v>45658</v>
      </c>
      <c r="B410" t="s">
        <v>138</v>
      </c>
      <c r="C410">
        <v>879</v>
      </c>
      <c r="D410">
        <v>95129.52</v>
      </c>
    </row>
    <row r="411" spans="1:4">
      <c r="A411" s="2">
        <v>45689</v>
      </c>
      <c r="B411" t="s">
        <v>138</v>
      </c>
      <c r="C411">
        <v>791</v>
      </c>
      <c r="D411">
        <v>67318.96</v>
      </c>
    </row>
    <row r="412" spans="1:4">
      <c r="A412" s="2">
        <v>45717</v>
      </c>
      <c r="B412" t="s">
        <v>138</v>
      </c>
      <c r="C412">
        <v>440</v>
      </c>
      <c r="D412">
        <v>38290.65</v>
      </c>
    </row>
    <row r="413" spans="1:4">
      <c r="A413" s="2">
        <v>45748</v>
      </c>
      <c r="B413" t="s">
        <v>138</v>
      </c>
      <c r="C413">
        <v>695</v>
      </c>
      <c r="D413">
        <v>77340.41</v>
      </c>
    </row>
    <row r="414" spans="1:4">
      <c r="A414" s="2">
        <v>45778</v>
      </c>
      <c r="B414" t="s">
        <v>138</v>
      </c>
      <c r="C414">
        <v>324</v>
      </c>
      <c r="D414">
        <v>27717.6</v>
      </c>
    </row>
    <row r="415" spans="1:4">
      <c r="A415" s="2">
        <v>45809</v>
      </c>
      <c r="B415" t="s">
        <v>138</v>
      </c>
      <c r="C415">
        <v>679</v>
      </c>
      <c r="D415">
        <v>77200.43</v>
      </c>
    </row>
    <row r="416" spans="1:4">
      <c r="A416" s="2">
        <v>45839</v>
      </c>
      <c r="B416" t="s">
        <v>138</v>
      </c>
      <c r="C416">
        <v>378</v>
      </c>
      <c r="D416">
        <v>34507.19</v>
      </c>
    </row>
    <row r="417" spans="1:4">
      <c r="A417" s="2">
        <v>45870</v>
      </c>
      <c r="B417" t="s">
        <v>138</v>
      </c>
      <c r="C417">
        <v>872</v>
      </c>
      <c r="D417">
        <v>116904.37</v>
      </c>
    </row>
    <row r="418" spans="1:4">
      <c r="A418" s="2">
        <v>45901</v>
      </c>
      <c r="B418" t="s">
        <v>138</v>
      </c>
      <c r="C418">
        <v>631</v>
      </c>
      <c r="D418">
        <v>84223.96</v>
      </c>
    </row>
    <row r="419" spans="1:4">
      <c r="A419" s="2">
        <v>45931</v>
      </c>
      <c r="B419" t="s">
        <v>138</v>
      </c>
      <c r="C419">
        <v>619</v>
      </c>
      <c r="D419">
        <v>73262.52</v>
      </c>
    </row>
    <row r="420" spans="1:4">
      <c r="A420" s="2">
        <v>45962</v>
      </c>
      <c r="B420" t="s">
        <v>138</v>
      </c>
      <c r="C420">
        <v>896</v>
      </c>
      <c r="D420">
        <v>93880.65</v>
      </c>
    </row>
    <row r="421" spans="1:4">
      <c r="A421" s="2">
        <v>45992</v>
      </c>
      <c r="B421" t="s">
        <v>138</v>
      </c>
      <c r="C421">
        <v>366</v>
      </c>
      <c r="D421">
        <v>41838.9</v>
      </c>
    </row>
    <row r="422" spans="1:4">
      <c r="A422" s="2">
        <v>45658</v>
      </c>
      <c r="B422" t="s">
        <v>140</v>
      </c>
      <c r="C422">
        <v>147</v>
      </c>
      <c r="D422">
        <v>22891.25</v>
      </c>
    </row>
    <row r="423" spans="1:4">
      <c r="A423" s="2">
        <v>45689</v>
      </c>
      <c r="B423" t="s">
        <v>140</v>
      </c>
      <c r="C423">
        <v>66</v>
      </c>
      <c r="D423">
        <v>9461.71</v>
      </c>
    </row>
    <row r="424" spans="1:4">
      <c r="A424" s="2">
        <v>45717</v>
      </c>
      <c r="B424" t="s">
        <v>140</v>
      </c>
      <c r="C424">
        <v>21</v>
      </c>
      <c r="D424">
        <v>3425.07</v>
      </c>
    </row>
    <row r="425" spans="1:4">
      <c r="A425" s="2">
        <v>45748</v>
      </c>
      <c r="B425" t="s">
        <v>140</v>
      </c>
      <c r="C425">
        <v>131</v>
      </c>
      <c r="D425">
        <v>22490</v>
      </c>
    </row>
    <row r="426" spans="1:4">
      <c r="A426" s="2">
        <v>45778</v>
      </c>
      <c r="B426" t="s">
        <v>140</v>
      </c>
      <c r="C426">
        <v>152</v>
      </c>
      <c r="D426">
        <v>27800.11</v>
      </c>
    </row>
    <row r="427" spans="1:4">
      <c r="A427" s="2">
        <v>45809</v>
      </c>
      <c r="B427" t="s">
        <v>140</v>
      </c>
      <c r="C427">
        <v>123</v>
      </c>
      <c r="D427">
        <v>16450.84</v>
      </c>
    </row>
    <row r="428" spans="1:4">
      <c r="A428" s="2">
        <v>45839</v>
      </c>
      <c r="B428" t="s">
        <v>140</v>
      </c>
      <c r="C428">
        <v>139</v>
      </c>
      <c r="D428">
        <v>22771.45</v>
      </c>
    </row>
    <row r="429" spans="1:4">
      <c r="A429" s="2">
        <v>45870</v>
      </c>
      <c r="B429" t="s">
        <v>140</v>
      </c>
      <c r="C429">
        <v>175</v>
      </c>
      <c r="D429">
        <v>31097.97</v>
      </c>
    </row>
    <row r="430" spans="1:4">
      <c r="A430" s="2">
        <v>45901</v>
      </c>
      <c r="B430" t="s">
        <v>140</v>
      </c>
      <c r="C430">
        <v>110</v>
      </c>
      <c r="D430">
        <v>18841.84</v>
      </c>
    </row>
    <row r="431" spans="1:4">
      <c r="A431" s="2">
        <v>45931</v>
      </c>
      <c r="B431" t="s">
        <v>140</v>
      </c>
      <c r="C431">
        <v>151</v>
      </c>
      <c r="D431">
        <v>25692.4</v>
      </c>
    </row>
    <row r="432" spans="1:4">
      <c r="A432" s="2">
        <v>45962</v>
      </c>
      <c r="B432" t="s">
        <v>140</v>
      </c>
      <c r="C432">
        <v>147</v>
      </c>
      <c r="D432">
        <v>27268.42</v>
      </c>
    </row>
    <row r="433" spans="1:4">
      <c r="A433" s="2">
        <v>45992</v>
      </c>
      <c r="B433" t="s">
        <v>140</v>
      </c>
      <c r="C433">
        <v>123</v>
      </c>
      <c r="D433">
        <v>20395.23</v>
      </c>
    </row>
    <row r="434" spans="1:4">
      <c r="A434" s="2">
        <v>45658</v>
      </c>
      <c r="B434" t="s">
        <v>142</v>
      </c>
      <c r="C434">
        <v>166</v>
      </c>
      <c r="D434">
        <v>9556.4</v>
      </c>
    </row>
    <row r="435" spans="1:4">
      <c r="A435" s="2">
        <v>45689</v>
      </c>
      <c r="B435" t="s">
        <v>142</v>
      </c>
      <c r="C435">
        <v>84</v>
      </c>
      <c r="D435">
        <v>4679.47</v>
      </c>
    </row>
    <row r="436" spans="1:4">
      <c r="A436" s="2">
        <v>45717</v>
      </c>
      <c r="B436" t="s">
        <v>142</v>
      </c>
      <c r="C436">
        <v>198</v>
      </c>
      <c r="D436">
        <v>14991.18</v>
      </c>
    </row>
    <row r="437" spans="1:4">
      <c r="A437" s="2">
        <v>45748</v>
      </c>
      <c r="B437" t="s">
        <v>142</v>
      </c>
      <c r="C437">
        <v>138</v>
      </c>
      <c r="D437">
        <v>8231.51</v>
      </c>
    </row>
    <row r="438" spans="1:4">
      <c r="A438" s="2">
        <v>45778</v>
      </c>
      <c r="B438" t="s">
        <v>142</v>
      </c>
      <c r="C438">
        <v>121</v>
      </c>
      <c r="D438">
        <v>7954.63</v>
      </c>
    </row>
    <row r="439" spans="1:4">
      <c r="A439" s="2">
        <v>45809</v>
      </c>
      <c r="B439" t="s">
        <v>142</v>
      </c>
      <c r="C439">
        <v>78</v>
      </c>
      <c r="D439">
        <v>4997.5</v>
      </c>
    </row>
    <row r="440" spans="1:4">
      <c r="A440" s="2">
        <v>45839</v>
      </c>
      <c r="B440" t="s">
        <v>142</v>
      </c>
      <c r="C440">
        <v>115</v>
      </c>
      <c r="D440">
        <v>6880.27</v>
      </c>
    </row>
    <row r="441" spans="1:4">
      <c r="A441" s="2">
        <v>45870</v>
      </c>
      <c r="B441" t="s">
        <v>142</v>
      </c>
      <c r="C441">
        <v>100</v>
      </c>
      <c r="D441">
        <v>5816.6</v>
      </c>
    </row>
    <row r="442" spans="1:4">
      <c r="A442" s="2">
        <v>45901</v>
      </c>
      <c r="B442" t="s">
        <v>142</v>
      </c>
      <c r="C442">
        <v>88</v>
      </c>
      <c r="D442">
        <v>6467.88</v>
      </c>
    </row>
    <row r="443" spans="1:4">
      <c r="A443" s="2">
        <v>45931</v>
      </c>
      <c r="B443" t="s">
        <v>142</v>
      </c>
      <c r="C443">
        <v>124</v>
      </c>
      <c r="D443">
        <v>9214.77</v>
      </c>
    </row>
    <row r="444" spans="1:4">
      <c r="A444" s="2">
        <v>45962</v>
      </c>
      <c r="B444" t="s">
        <v>142</v>
      </c>
      <c r="C444">
        <v>106</v>
      </c>
      <c r="D444">
        <v>6968.69</v>
      </c>
    </row>
    <row r="445" spans="1:4">
      <c r="A445" s="2">
        <v>45992</v>
      </c>
      <c r="B445" t="s">
        <v>142</v>
      </c>
      <c r="C445">
        <v>128</v>
      </c>
      <c r="D445">
        <v>9462.1</v>
      </c>
    </row>
    <row r="446" spans="1:4">
      <c r="A446" s="2">
        <v>45658</v>
      </c>
      <c r="B446" t="s">
        <v>144</v>
      </c>
      <c r="C446">
        <v>542</v>
      </c>
      <c r="D446">
        <v>49710.66</v>
      </c>
    </row>
    <row r="447" spans="1:4">
      <c r="A447" s="2">
        <v>45689</v>
      </c>
      <c r="B447" t="s">
        <v>144</v>
      </c>
      <c r="C447">
        <v>577</v>
      </c>
      <c r="D447">
        <v>57587.33</v>
      </c>
    </row>
    <row r="448" spans="1:4">
      <c r="A448" s="2">
        <v>45717</v>
      </c>
      <c r="B448" t="s">
        <v>144</v>
      </c>
      <c r="C448">
        <v>561</v>
      </c>
      <c r="D448">
        <v>51906.9</v>
      </c>
    </row>
    <row r="449" spans="1:4">
      <c r="A449" s="2">
        <v>45748</v>
      </c>
      <c r="B449" t="s">
        <v>144</v>
      </c>
      <c r="C449">
        <v>717</v>
      </c>
      <c r="D449">
        <v>73549.22</v>
      </c>
    </row>
    <row r="450" spans="1:4">
      <c r="A450" s="2">
        <v>45778</v>
      </c>
      <c r="B450" t="s">
        <v>144</v>
      </c>
      <c r="C450">
        <v>367</v>
      </c>
      <c r="D450">
        <v>43408.51</v>
      </c>
    </row>
    <row r="451" spans="1:4">
      <c r="A451" s="2">
        <v>45809</v>
      </c>
      <c r="B451" t="s">
        <v>144</v>
      </c>
      <c r="C451">
        <v>505</v>
      </c>
      <c r="D451">
        <v>47715.74</v>
      </c>
    </row>
    <row r="452" spans="1:4">
      <c r="A452" s="2">
        <v>45839</v>
      </c>
      <c r="B452" t="s">
        <v>144</v>
      </c>
      <c r="C452">
        <v>450</v>
      </c>
      <c r="D452">
        <v>42424.22</v>
      </c>
    </row>
    <row r="453" spans="1:4">
      <c r="A453" s="2">
        <v>45870</v>
      </c>
      <c r="B453" t="s">
        <v>144</v>
      </c>
      <c r="C453">
        <v>364</v>
      </c>
      <c r="D453">
        <v>30328.2</v>
      </c>
    </row>
    <row r="454" spans="1:4">
      <c r="A454" s="2">
        <v>45901</v>
      </c>
      <c r="B454" t="s">
        <v>144</v>
      </c>
      <c r="C454">
        <v>505</v>
      </c>
      <c r="D454">
        <v>47910.12</v>
      </c>
    </row>
    <row r="455" spans="1:4">
      <c r="A455" s="2">
        <v>45931</v>
      </c>
      <c r="B455" t="s">
        <v>144</v>
      </c>
      <c r="C455">
        <v>627</v>
      </c>
      <c r="D455">
        <v>77548.81</v>
      </c>
    </row>
    <row r="456" spans="1:4">
      <c r="A456" s="2">
        <v>45962</v>
      </c>
      <c r="B456" t="s">
        <v>144</v>
      </c>
      <c r="C456">
        <v>494</v>
      </c>
      <c r="D456">
        <v>52444.19</v>
      </c>
    </row>
    <row r="457" spans="1:4">
      <c r="A457" s="2">
        <v>45992</v>
      </c>
      <c r="B457" t="s">
        <v>144</v>
      </c>
      <c r="C457">
        <v>487</v>
      </c>
      <c r="D457">
        <v>56838.51</v>
      </c>
    </row>
    <row r="458" spans="1:4">
      <c r="A458" s="2">
        <v>45658</v>
      </c>
      <c r="B458" t="s">
        <v>146</v>
      </c>
      <c r="C458">
        <v>375</v>
      </c>
      <c r="D458">
        <v>14255.82</v>
      </c>
    </row>
    <row r="459" spans="1:4">
      <c r="A459" s="2">
        <v>45689</v>
      </c>
      <c r="B459" t="s">
        <v>146</v>
      </c>
      <c r="C459">
        <v>408</v>
      </c>
      <c r="D459">
        <v>18854.1</v>
      </c>
    </row>
    <row r="460" spans="1:4">
      <c r="A460" s="2">
        <v>45717</v>
      </c>
      <c r="B460" t="s">
        <v>146</v>
      </c>
      <c r="C460">
        <v>369</v>
      </c>
      <c r="D460">
        <v>14112.2</v>
      </c>
    </row>
    <row r="461" spans="1:4">
      <c r="A461" s="2">
        <v>45748</v>
      </c>
      <c r="B461" t="s">
        <v>146</v>
      </c>
      <c r="C461">
        <v>370</v>
      </c>
      <c r="D461">
        <v>12834.29</v>
      </c>
    </row>
    <row r="462" spans="1:4">
      <c r="A462" s="2">
        <v>45778</v>
      </c>
      <c r="B462" t="s">
        <v>146</v>
      </c>
      <c r="C462">
        <v>617</v>
      </c>
      <c r="D462">
        <v>24586.16</v>
      </c>
    </row>
    <row r="463" spans="1:4">
      <c r="A463" s="2">
        <v>45809</v>
      </c>
      <c r="B463" t="s">
        <v>146</v>
      </c>
      <c r="C463">
        <v>408</v>
      </c>
      <c r="D463">
        <v>13792.77</v>
      </c>
    </row>
    <row r="464" spans="1:4">
      <c r="A464" s="2">
        <v>45839</v>
      </c>
      <c r="B464" t="s">
        <v>146</v>
      </c>
      <c r="C464">
        <v>455</v>
      </c>
      <c r="D464">
        <v>15967</v>
      </c>
    </row>
    <row r="465" spans="1:4">
      <c r="A465" s="2">
        <v>45870</v>
      </c>
      <c r="B465" t="s">
        <v>146</v>
      </c>
      <c r="C465">
        <v>410</v>
      </c>
      <c r="D465">
        <v>20446.5</v>
      </c>
    </row>
    <row r="466" spans="1:4">
      <c r="A466" s="2">
        <v>45901</v>
      </c>
      <c r="B466" t="s">
        <v>146</v>
      </c>
      <c r="C466">
        <v>336</v>
      </c>
      <c r="D466">
        <v>13856.15</v>
      </c>
    </row>
    <row r="467" spans="1:4">
      <c r="A467" s="2">
        <v>45931</v>
      </c>
      <c r="B467" t="s">
        <v>146</v>
      </c>
      <c r="C467">
        <v>229</v>
      </c>
      <c r="D467">
        <v>8637.51</v>
      </c>
    </row>
    <row r="468" spans="1:4">
      <c r="A468" s="2">
        <v>45962</v>
      </c>
      <c r="B468" t="s">
        <v>146</v>
      </c>
      <c r="C468">
        <v>666</v>
      </c>
      <c r="D468">
        <v>21329.44</v>
      </c>
    </row>
    <row r="469" spans="1:4">
      <c r="A469" s="2">
        <v>45992</v>
      </c>
      <c r="B469" t="s">
        <v>146</v>
      </c>
      <c r="C469">
        <v>0</v>
      </c>
      <c r="D469">
        <v>0</v>
      </c>
    </row>
    <row r="470" spans="1:4">
      <c r="A470" s="2">
        <v>45658</v>
      </c>
      <c r="B470" t="s">
        <v>148</v>
      </c>
      <c r="C470">
        <v>250</v>
      </c>
      <c r="D470">
        <v>31906.75</v>
      </c>
    </row>
    <row r="471" spans="1:4">
      <c r="A471" s="2">
        <v>45689</v>
      </c>
      <c r="B471" t="s">
        <v>148</v>
      </c>
      <c r="C471">
        <v>66</v>
      </c>
      <c r="D471">
        <v>6284.04</v>
      </c>
    </row>
    <row r="472" spans="1:4">
      <c r="A472" s="2">
        <v>45717</v>
      </c>
      <c r="B472" t="s">
        <v>148</v>
      </c>
      <c r="C472">
        <v>235</v>
      </c>
      <c r="D472">
        <v>27374.78</v>
      </c>
    </row>
    <row r="473" spans="1:4">
      <c r="A473" s="2">
        <v>45748</v>
      </c>
      <c r="B473" t="s">
        <v>148</v>
      </c>
      <c r="C473">
        <v>174</v>
      </c>
      <c r="D473">
        <v>17223.69</v>
      </c>
    </row>
    <row r="474" spans="1:4">
      <c r="A474" s="2">
        <v>45778</v>
      </c>
      <c r="B474" t="s">
        <v>148</v>
      </c>
      <c r="C474">
        <v>324</v>
      </c>
      <c r="D474">
        <v>37228.11</v>
      </c>
    </row>
    <row r="475" spans="1:4">
      <c r="A475" s="2">
        <v>45809</v>
      </c>
      <c r="B475" t="s">
        <v>148</v>
      </c>
      <c r="C475">
        <v>281</v>
      </c>
      <c r="D475">
        <v>33517.83</v>
      </c>
    </row>
    <row r="476" spans="1:4">
      <c r="A476" s="2">
        <v>45839</v>
      </c>
      <c r="B476" t="s">
        <v>148</v>
      </c>
      <c r="C476">
        <v>166</v>
      </c>
      <c r="D476">
        <v>15283.92</v>
      </c>
    </row>
    <row r="477" spans="1:4">
      <c r="A477" s="2">
        <v>45870</v>
      </c>
      <c r="B477" t="s">
        <v>148</v>
      </c>
      <c r="C477">
        <v>252</v>
      </c>
      <c r="D477">
        <v>25943.51</v>
      </c>
    </row>
    <row r="478" spans="1:4">
      <c r="A478" s="2">
        <v>45901</v>
      </c>
      <c r="B478" t="s">
        <v>148</v>
      </c>
      <c r="C478">
        <v>210</v>
      </c>
      <c r="D478">
        <v>19328.06</v>
      </c>
    </row>
    <row r="479" spans="1:4">
      <c r="A479" s="2">
        <v>45931</v>
      </c>
      <c r="B479" t="s">
        <v>148</v>
      </c>
      <c r="C479">
        <v>178</v>
      </c>
      <c r="D479">
        <v>19869.96</v>
      </c>
    </row>
    <row r="480" spans="1:4">
      <c r="A480" s="2">
        <v>45962</v>
      </c>
      <c r="B480" t="s">
        <v>148</v>
      </c>
      <c r="C480">
        <v>334</v>
      </c>
      <c r="D480">
        <v>33377.51</v>
      </c>
    </row>
    <row r="481" spans="1:4">
      <c r="A481" s="2">
        <v>45992</v>
      </c>
      <c r="B481" t="s">
        <v>148</v>
      </c>
      <c r="C481">
        <v>121</v>
      </c>
      <c r="D481">
        <v>16736.85</v>
      </c>
    </row>
    <row r="482" spans="1:4">
      <c r="A482" s="2">
        <v>45658</v>
      </c>
      <c r="B482" t="s">
        <v>150</v>
      </c>
      <c r="C482">
        <v>278</v>
      </c>
      <c r="D482">
        <v>30276.28</v>
      </c>
    </row>
    <row r="483" spans="1:4">
      <c r="A483" s="2">
        <v>45689</v>
      </c>
      <c r="B483" t="s">
        <v>150</v>
      </c>
      <c r="C483">
        <v>193</v>
      </c>
      <c r="D483">
        <v>18202.59</v>
      </c>
    </row>
    <row r="484" spans="1:4">
      <c r="A484" s="2">
        <v>45717</v>
      </c>
      <c r="B484" t="s">
        <v>150</v>
      </c>
      <c r="C484">
        <v>134</v>
      </c>
      <c r="D484">
        <v>13554.64</v>
      </c>
    </row>
    <row r="485" spans="1:4">
      <c r="A485" s="2">
        <v>45748</v>
      </c>
      <c r="B485" t="s">
        <v>150</v>
      </c>
      <c r="C485">
        <v>231</v>
      </c>
      <c r="D485">
        <v>18348.13</v>
      </c>
    </row>
    <row r="486" spans="1:4">
      <c r="A486" s="2">
        <v>45778</v>
      </c>
      <c r="B486" t="s">
        <v>150</v>
      </c>
      <c r="C486">
        <v>294</v>
      </c>
      <c r="D486">
        <v>31376.53</v>
      </c>
    </row>
    <row r="487" spans="1:4">
      <c r="A487" s="2">
        <v>45809</v>
      </c>
      <c r="B487" t="s">
        <v>150</v>
      </c>
      <c r="C487">
        <v>121</v>
      </c>
      <c r="D487">
        <v>10894.92</v>
      </c>
    </row>
    <row r="488" spans="1:4">
      <c r="A488" s="2">
        <v>45839</v>
      </c>
      <c r="B488" t="s">
        <v>150</v>
      </c>
      <c r="C488">
        <v>289</v>
      </c>
      <c r="D488">
        <v>32740.41</v>
      </c>
    </row>
    <row r="489" spans="1:4">
      <c r="A489" s="2">
        <v>45870</v>
      </c>
      <c r="B489" t="s">
        <v>150</v>
      </c>
      <c r="C489">
        <v>166</v>
      </c>
      <c r="D489">
        <v>14996.38</v>
      </c>
    </row>
    <row r="490" spans="1:4">
      <c r="A490" s="2">
        <v>45901</v>
      </c>
      <c r="B490" t="s">
        <v>150</v>
      </c>
      <c r="C490">
        <v>296</v>
      </c>
      <c r="D490">
        <v>30289.55</v>
      </c>
    </row>
    <row r="491" spans="1:4">
      <c r="A491" s="2">
        <v>45931</v>
      </c>
      <c r="B491" t="s">
        <v>150</v>
      </c>
      <c r="C491">
        <v>196</v>
      </c>
      <c r="D491">
        <v>19625.94</v>
      </c>
    </row>
    <row r="492" spans="1:4">
      <c r="A492" s="2">
        <v>45962</v>
      </c>
      <c r="B492" t="s">
        <v>150</v>
      </c>
      <c r="C492">
        <v>194</v>
      </c>
      <c r="D492">
        <v>23707.47</v>
      </c>
    </row>
    <row r="493" spans="1:4">
      <c r="A493" s="2">
        <v>45992</v>
      </c>
      <c r="B493" t="s">
        <v>150</v>
      </c>
      <c r="C493">
        <v>173</v>
      </c>
      <c r="D493">
        <v>17430.72</v>
      </c>
    </row>
    <row r="494" spans="1:4">
      <c r="A494" s="2">
        <v>45658</v>
      </c>
      <c r="B494" t="s">
        <v>152</v>
      </c>
      <c r="C494">
        <v>111</v>
      </c>
      <c r="D494">
        <v>3630.73</v>
      </c>
    </row>
    <row r="495" spans="1:4">
      <c r="A495" s="2">
        <v>45689</v>
      </c>
      <c r="B495" t="s">
        <v>152</v>
      </c>
      <c r="C495">
        <v>109</v>
      </c>
      <c r="D495">
        <v>3439.11</v>
      </c>
    </row>
    <row r="496" spans="1:4">
      <c r="A496" s="2">
        <v>45717</v>
      </c>
      <c r="B496" t="s">
        <v>152</v>
      </c>
      <c r="C496">
        <v>104</v>
      </c>
      <c r="D496">
        <v>3576.8</v>
      </c>
    </row>
    <row r="497" spans="1:4">
      <c r="A497" s="2">
        <v>45748</v>
      </c>
      <c r="B497" t="s">
        <v>152</v>
      </c>
      <c r="C497">
        <v>100</v>
      </c>
      <c r="D497">
        <v>2881.01</v>
      </c>
    </row>
    <row r="498" spans="1:4">
      <c r="A498" s="2">
        <v>45778</v>
      </c>
      <c r="B498" t="s">
        <v>152</v>
      </c>
      <c r="C498">
        <v>70</v>
      </c>
      <c r="D498">
        <v>2648.36</v>
      </c>
    </row>
    <row r="499" spans="1:4">
      <c r="A499" s="2">
        <v>45809</v>
      </c>
      <c r="B499" t="s">
        <v>152</v>
      </c>
      <c r="C499">
        <v>125</v>
      </c>
      <c r="D499">
        <v>4517.62</v>
      </c>
    </row>
    <row r="500" spans="1:4">
      <c r="A500" s="2">
        <v>45839</v>
      </c>
      <c r="B500" t="s">
        <v>152</v>
      </c>
      <c r="C500">
        <v>123</v>
      </c>
      <c r="D500">
        <v>4648.19</v>
      </c>
    </row>
    <row r="501" spans="1:4">
      <c r="A501" s="2">
        <v>45870</v>
      </c>
      <c r="B501" t="s">
        <v>152</v>
      </c>
      <c r="C501">
        <v>96</v>
      </c>
      <c r="D501">
        <v>3423.43</v>
      </c>
    </row>
    <row r="502" spans="1:4">
      <c r="A502" s="2">
        <v>45901</v>
      </c>
      <c r="B502" t="s">
        <v>152</v>
      </c>
      <c r="C502">
        <v>54</v>
      </c>
      <c r="D502">
        <v>1881.22</v>
      </c>
    </row>
    <row r="503" spans="1:4">
      <c r="A503" s="2">
        <v>45931</v>
      </c>
      <c r="B503" t="s">
        <v>152</v>
      </c>
      <c r="C503">
        <v>71</v>
      </c>
      <c r="D503">
        <v>1894.87</v>
      </c>
    </row>
    <row r="504" spans="1:4">
      <c r="A504" s="2">
        <v>45962</v>
      </c>
      <c r="B504" t="s">
        <v>152</v>
      </c>
      <c r="C504">
        <v>131</v>
      </c>
      <c r="D504">
        <v>5117.14</v>
      </c>
    </row>
    <row r="505" spans="1:4">
      <c r="A505" s="2">
        <v>45992</v>
      </c>
      <c r="B505" t="s">
        <v>152</v>
      </c>
      <c r="C505">
        <v>62</v>
      </c>
      <c r="D505">
        <v>2306.2</v>
      </c>
    </row>
    <row r="506" spans="1:4">
      <c r="A506" s="2">
        <v>45658</v>
      </c>
      <c r="B506" t="s">
        <v>154</v>
      </c>
      <c r="C506">
        <v>796</v>
      </c>
      <c r="D506">
        <v>105465.22</v>
      </c>
    </row>
    <row r="507" spans="1:4">
      <c r="A507" s="2">
        <v>45689</v>
      </c>
      <c r="B507" t="s">
        <v>154</v>
      </c>
      <c r="C507">
        <v>849</v>
      </c>
      <c r="D507">
        <v>113284.57</v>
      </c>
    </row>
    <row r="508" spans="1:4">
      <c r="A508" s="2">
        <v>45717</v>
      </c>
      <c r="B508" t="s">
        <v>154</v>
      </c>
      <c r="C508">
        <v>635</v>
      </c>
      <c r="D508">
        <v>84897.32</v>
      </c>
    </row>
    <row r="509" spans="1:4">
      <c r="A509" s="2">
        <v>45748</v>
      </c>
      <c r="B509" t="s">
        <v>154</v>
      </c>
      <c r="C509">
        <v>769</v>
      </c>
      <c r="D509">
        <v>79836.93</v>
      </c>
    </row>
    <row r="510" spans="1:4">
      <c r="A510" s="2">
        <v>45778</v>
      </c>
      <c r="B510" t="s">
        <v>154</v>
      </c>
      <c r="C510">
        <v>961</v>
      </c>
      <c r="D510">
        <v>82560.24</v>
      </c>
    </row>
    <row r="511" spans="1:4">
      <c r="A511" s="2">
        <v>45809</v>
      </c>
      <c r="B511" t="s">
        <v>154</v>
      </c>
      <c r="C511">
        <v>716</v>
      </c>
      <c r="D511">
        <v>75918.85</v>
      </c>
    </row>
    <row r="512" spans="1:4">
      <c r="A512" s="2">
        <v>45839</v>
      </c>
      <c r="B512" t="s">
        <v>154</v>
      </c>
      <c r="C512">
        <v>572</v>
      </c>
      <c r="D512">
        <v>54350</v>
      </c>
    </row>
    <row r="513" spans="1:4">
      <c r="A513" s="2">
        <v>45870</v>
      </c>
      <c r="B513" t="s">
        <v>154</v>
      </c>
      <c r="C513">
        <v>444</v>
      </c>
      <c r="D513">
        <v>57320.22</v>
      </c>
    </row>
    <row r="514" spans="1:4">
      <c r="A514" s="2">
        <v>45901</v>
      </c>
      <c r="B514" t="s">
        <v>154</v>
      </c>
      <c r="C514">
        <v>648</v>
      </c>
      <c r="D514">
        <v>65345.36</v>
      </c>
    </row>
    <row r="515" spans="1:4">
      <c r="A515" s="2">
        <v>45931</v>
      </c>
      <c r="B515" t="s">
        <v>154</v>
      </c>
      <c r="C515">
        <v>763</v>
      </c>
      <c r="D515">
        <v>67296.77</v>
      </c>
    </row>
    <row r="516" spans="1:4">
      <c r="A516" s="2">
        <v>45962</v>
      </c>
      <c r="B516" t="s">
        <v>154</v>
      </c>
      <c r="C516">
        <v>1395</v>
      </c>
      <c r="D516">
        <v>186783.93</v>
      </c>
    </row>
    <row r="517" spans="1:4">
      <c r="A517" s="2">
        <v>45992</v>
      </c>
      <c r="B517" t="s">
        <v>154</v>
      </c>
      <c r="C517">
        <v>230</v>
      </c>
      <c r="D517">
        <v>21540.18</v>
      </c>
    </row>
    <row r="518" spans="1:4">
      <c r="A518" s="2">
        <v>45658</v>
      </c>
      <c r="B518" t="s">
        <v>156</v>
      </c>
      <c r="C518">
        <v>330</v>
      </c>
      <c r="D518">
        <v>9449.27</v>
      </c>
    </row>
    <row r="519" spans="1:4">
      <c r="A519" s="2">
        <v>45689</v>
      </c>
      <c r="B519" t="s">
        <v>156</v>
      </c>
      <c r="C519">
        <v>294</v>
      </c>
      <c r="D519">
        <v>9228.55</v>
      </c>
    </row>
    <row r="520" spans="1:4">
      <c r="A520" s="2">
        <v>45717</v>
      </c>
      <c r="B520" t="s">
        <v>156</v>
      </c>
      <c r="C520">
        <v>287</v>
      </c>
      <c r="D520">
        <v>10403.82</v>
      </c>
    </row>
    <row r="521" spans="1:4">
      <c r="A521" s="2">
        <v>45748</v>
      </c>
      <c r="B521" t="s">
        <v>156</v>
      </c>
      <c r="C521">
        <v>227</v>
      </c>
      <c r="D521">
        <v>5881.53</v>
      </c>
    </row>
    <row r="522" spans="1:4">
      <c r="A522" s="2">
        <v>45778</v>
      </c>
      <c r="B522" t="s">
        <v>156</v>
      </c>
      <c r="C522">
        <v>332</v>
      </c>
      <c r="D522">
        <v>9931.32</v>
      </c>
    </row>
    <row r="523" spans="1:4">
      <c r="A523" s="2">
        <v>45809</v>
      </c>
      <c r="B523" t="s">
        <v>156</v>
      </c>
      <c r="C523">
        <v>272</v>
      </c>
      <c r="D523">
        <v>10259.41</v>
      </c>
    </row>
    <row r="524" spans="1:4">
      <c r="A524" s="2">
        <v>45839</v>
      </c>
      <c r="B524" t="s">
        <v>156</v>
      </c>
      <c r="C524">
        <v>321</v>
      </c>
      <c r="D524">
        <v>10407.89</v>
      </c>
    </row>
    <row r="525" spans="1:4">
      <c r="A525" s="2">
        <v>45870</v>
      </c>
      <c r="B525" t="s">
        <v>156</v>
      </c>
      <c r="C525">
        <v>244</v>
      </c>
      <c r="D525">
        <v>8811.05</v>
      </c>
    </row>
    <row r="526" spans="1:4">
      <c r="A526" s="2">
        <v>45901</v>
      </c>
      <c r="B526" t="s">
        <v>156</v>
      </c>
      <c r="C526">
        <v>330</v>
      </c>
      <c r="D526">
        <v>11808.61</v>
      </c>
    </row>
    <row r="527" spans="1:4">
      <c r="A527" s="2">
        <v>45931</v>
      </c>
      <c r="B527" t="s">
        <v>156</v>
      </c>
      <c r="C527">
        <v>301</v>
      </c>
      <c r="D527">
        <v>10264.96</v>
      </c>
    </row>
    <row r="528" spans="1:4">
      <c r="A528" s="2">
        <v>45962</v>
      </c>
      <c r="B528" t="s">
        <v>156</v>
      </c>
      <c r="C528">
        <v>520</v>
      </c>
      <c r="D528">
        <v>12420.02</v>
      </c>
    </row>
    <row r="529" spans="1:4">
      <c r="A529" s="2">
        <v>45992</v>
      </c>
      <c r="B529" t="s">
        <v>156</v>
      </c>
      <c r="C529">
        <v>411</v>
      </c>
      <c r="D529">
        <v>11876.47</v>
      </c>
    </row>
    <row r="530" spans="1:4">
      <c r="A530" s="2">
        <v>45658</v>
      </c>
      <c r="B530" t="s">
        <v>158</v>
      </c>
      <c r="C530">
        <v>800</v>
      </c>
      <c r="D530">
        <v>69393.68</v>
      </c>
    </row>
    <row r="531" spans="1:4">
      <c r="A531" s="2">
        <v>45689</v>
      </c>
      <c r="B531" t="s">
        <v>158</v>
      </c>
      <c r="C531">
        <v>1129</v>
      </c>
      <c r="D531">
        <v>97877.31</v>
      </c>
    </row>
    <row r="532" spans="1:4">
      <c r="A532" s="2">
        <v>45717</v>
      </c>
      <c r="B532" t="s">
        <v>158</v>
      </c>
      <c r="C532">
        <v>586</v>
      </c>
      <c r="D532">
        <v>53630.48</v>
      </c>
    </row>
    <row r="533" spans="1:4">
      <c r="A533" s="2">
        <v>45748</v>
      </c>
      <c r="B533" t="s">
        <v>158</v>
      </c>
      <c r="C533">
        <v>818</v>
      </c>
      <c r="D533">
        <v>69140.27</v>
      </c>
    </row>
    <row r="534" spans="1:4">
      <c r="A534" s="2">
        <v>45778</v>
      </c>
      <c r="B534" t="s">
        <v>158</v>
      </c>
      <c r="C534">
        <v>617</v>
      </c>
      <c r="D534">
        <v>70957.15</v>
      </c>
    </row>
    <row r="535" spans="1:4">
      <c r="A535" s="2">
        <v>45809</v>
      </c>
      <c r="B535" t="s">
        <v>158</v>
      </c>
      <c r="C535">
        <v>1054</v>
      </c>
      <c r="D535">
        <v>135522.71</v>
      </c>
    </row>
    <row r="536" spans="1:4">
      <c r="A536" s="2">
        <v>45839</v>
      </c>
      <c r="B536" t="s">
        <v>158</v>
      </c>
      <c r="C536">
        <v>555</v>
      </c>
      <c r="D536">
        <v>48311.54</v>
      </c>
    </row>
    <row r="537" spans="1:4">
      <c r="A537" s="2">
        <v>45870</v>
      </c>
      <c r="B537" t="s">
        <v>158</v>
      </c>
      <c r="C537">
        <v>970</v>
      </c>
      <c r="D537">
        <v>91623.45</v>
      </c>
    </row>
    <row r="538" spans="1:4">
      <c r="A538" s="2">
        <v>45901</v>
      </c>
      <c r="B538" t="s">
        <v>158</v>
      </c>
      <c r="C538">
        <v>580</v>
      </c>
      <c r="D538">
        <v>53338.51</v>
      </c>
    </row>
    <row r="539" spans="1:4">
      <c r="A539" s="2">
        <v>45931</v>
      </c>
      <c r="B539" t="s">
        <v>158</v>
      </c>
      <c r="C539">
        <v>300</v>
      </c>
      <c r="D539">
        <v>30278.38</v>
      </c>
    </row>
    <row r="540" spans="1:4">
      <c r="A540" s="2">
        <v>45962</v>
      </c>
      <c r="B540" t="s">
        <v>158</v>
      </c>
      <c r="C540">
        <v>835</v>
      </c>
      <c r="D540">
        <v>74953.16</v>
      </c>
    </row>
    <row r="541" spans="1:4">
      <c r="A541" s="2">
        <v>45992</v>
      </c>
      <c r="B541" t="s">
        <v>158</v>
      </c>
      <c r="C541">
        <v>916</v>
      </c>
      <c r="D541">
        <v>113782.92</v>
      </c>
    </row>
    <row r="542" spans="1:4">
      <c r="A542" s="2">
        <v>45658</v>
      </c>
      <c r="B542" t="s">
        <v>160</v>
      </c>
      <c r="C542">
        <v>89</v>
      </c>
      <c r="D542">
        <v>9462.51</v>
      </c>
    </row>
    <row r="543" spans="1:4">
      <c r="A543" s="2">
        <v>45689</v>
      </c>
      <c r="B543" t="s">
        <v>160</v>
      </c>
      <c r="C543">
        <v>36</v>
      </c>
      <c r="D543">
        <v>4537.95</v>
      </c>
    </row>
    <row r="544" spans="1:4">
      <c r="A544" s="2">
        <v>45717</v>
      </c>
      <c r="B544" t="s">
        <v>160</v>
      </c>
      <c r="C544">
        <v>79</v>
      </c>
      <c r="D544">
        <v>12161.05</v>
      </c>
    </row>
    <row r="545" spans="1:4">
      <c r="A545" s="2">
        <v>45748</v>
      </c>
      <c r="B545" t="s">
        <v>160</v>
      </c>
      <c r="C545">
        <v>84</v>
      </c>
      <c r="D545">
        <v>12243.02</v>
      </c>
    </row>
    <row r="546" spans="1:4">
      <c r="A546" s="2">
        <v>45778</v>
      </c>
      <c r="B546" t="s">
        <v>160</v>
      </c>
      <c r="C546">
        <v>43</v>
      </c>
      <c r="D546">
        <v>7075.97</v>
      </c>
    </row>
    <row r="547" spans="1:4">
      <c r="A547" s="2">
        <v>45809</v>
      </c>
      <c r="B547" t="s">
        <v>160</v>
      </c>
      <c r="C547">
        <v>88</v>
      </c>
      <c r="D547">
        <v>12146.57</v>
      </c>
    </row>
    <row r="548" spans="1:4">
      <c r="A548" s="2">
        <v>45839</v>
      </c>
      <c r="B548" t="s">
        <v>160</v>
      </c>
      <c r="C548">
        <v>86</v>
      </c>
      <c r="D548">
        <v>10008.51</v>
      </c>
    </row>
    <row r="549" spans="1:4">
      <c r="A549" s="2">
        <v>45870</v>
      </c>
      <c r="B549" t="s">
        <v>160</v>
      </c>
      <c r="C549">
        <v>107</v>
      </c>
      <c r="D549">
        <v>15755.53</v>
      </c>
    </row>
    <row r="550" spans="1:4">
      <c r="A550" s="2">
        <v>45901</v>
      </c>
      <c r="B550" t="s">
        <v>160</v>
      </c>
      <c r="C550">
        <v>18</v>
      </c>
      <c r="D550">
        <v>2570.54</v>
      </c>
    </row>
    <row r="551" spans="1:4">
      <c r="A551" s="2">
        <v>45931</v>
      </c>
      <c r="B551" t="s">
        <v>160</v>
      </c>
      <c r="C551">
        <v>35</v>
      </c>
      <c r="D551">
        <v>4032.46</v>
      </c>
    </row>
    <row r="552" spans="1:4">
      <c r="A552" s="2">
        <v>45962</v>
      </c>
      <c r="B552" t="s">
        <v>160</v>
      </c>
      <c r="C552">
        <v>55</v>
      </c>
      <c r="D552">
        <v>8151.91</v>
      </c>
    </row>
    <row r="553" spans="1:4">
      <c r="A553" s="2">
        <v>45992</v>
      </c>
      <c r="B553" t="s">
        <v>160</v>
      </c>
      <c r="C553">
        <v>105</v>
      </c>
      <c r="D553">
        <v>13444.3</v>
      </c>
    </row>
    <row r="554" spans="1:4">
      <c r="A554" s="2">
        <v>45658</v>
      </c>
      <c r="B554" t="s">
        <v>162</v>
      </c>
      <c r="C554">
        <v>300</v>
      </c>
      <c r="D554">
        <v>40522.14</v>
      </c>
    </row>
    <row r="555" spans="1:4">
      <c r="A555" s="2">
        <v>45689</v>
      </c>
      <c r="B555" t="s">
        <v>162</v>
      </c>
      <c r="C555">
        <v>279</v>
      </c>
      <c r="D555">
        <v>41460.03</v>
      </c>
    </row>
    <row r="556" spans="1:4">
      <c r="A556" s="2">
        <v>45717</v>
      </c>
      <c r="B556" t="s">
        <v>162</v>
      </c>
      <c r="C556">
        <v>276</v>
      </c>
      <c r="D556">
        <v>44034.56</v>
      </c>
    </row>
    <row r="557" spans="1:4">
      <c r="A557" s="2">
        <v>45748</v>
      </c>
      <c r="B557" t="s">
        <v>162</v>
      </c>
      <c r="C557">
        <v>331</v>
      </c>
      <c r="D557">
        <v>57996.9</v>
      </c>
    </row>
    <row r="558" spans="1:4">
      <c r="A558" s="2">
        <v>45778</v>
      </c>
      <c r="B558" t="s">
        <v>162</v>
      </c>
      <c r="C558">
        <v>151</v>
      </c>
      <c r="D558">
        <v>24898.4</v>
      </c>
    </row>
    <row r="559" spans="1:4">
      <c r="A559" s="2">
        <v>45809</v>
      </c>
      <c r="B559" t="s">
        <v>162</v>
      </c>
      <c r="C559">
        <v>0</v>
      </c>
      <c r="D559">
        <v>0</v>
      </c>
    </row>
    <row r="560" spans="1:4">
      <c r="A560" s="2">
        <v>45839</v>
      </c>
      <c r="B560" t="s">
        <v>162</v>
      </c>
      <c r="C560">
        <v>289</v>
      </c>
      <c r="D560">
        <v>47482.8</v>
      </c>
    </row>
    <row r="561" spans="1:4">
      <c r="A561" s="2">
        <v>45870</v>
      </c>
      <c r="B561" t="s">
        <v>162</v>
      </c>
      <c r="C561">
        <v>376</v>
      </c>
      <c r="D561">
        <v>46422.14</v>
      </c>
    </row>
    <row r="562" spans="1:4">
      <c r="A562" s="2">
        <v>45901</v>
      </c>
      <c r="B562" t="s">
        <v>162</v>
      </c>
      <c r="C562">
        <v>293</v>
      </c>
      <c r="D562">
        <v>53719.39</v>
      </c>
    </row>
    <row r="563" spans="1:4">
      <c r="A563" s="2">
        <v>45931</v>
      </c>
      <c r="B563" t="s">
        <v>162</v>
      </c>
      <c r="C563">
        <v>180</v>
      </c>
      <c r="D563">
        <v>28099.47</v>
      </c>
    </row>
    <row r="564" spans="1:4">
      <c r="A564" s="2">
        <v>45962</v>
      </c>
      <c r="B564" t="s">
        <v>162</v>
      </c>
      <c r="C564">
        <v>314</v>
      </c>
      <c r="D564">
        <v>37684.29</v>
      </c>
    </row>
    <row r="565" spans="1:4">
      <c r="A565" s="2">
        <v>45992</v>
      </c>
      <c r="B565" t="s">
        <v>162</v>
      </c>
      <c r="C565">
        <v>283</v>
      </c>
      <c r="D565">
        <v>44106.74</v>
      </c>
    </row>
    <row r="566" spans="1:4">
      <c r="A566" s="2">
        <v>45658</v>
      </c>
      <c r="B566" t="s">
        <v>164</v>
      </c>
      <c r="C566">
        <v>356</v>
      </c>
      <c r="D566">
        <v>50218.78</v>
      </c>
    </row>
    <row r="567" spans="1:4">
      <c r="A567" s="2">
        <v>45689</v>
      </c>
      <c r="B567" t="s">
        <v>164</v>
      </c>
      <c r="C567">
        <v>188</v>
      </c>
      <c r="D567">
        <v>21529.39</v>
      </c>
    </row>
    <row r="568" spans="1:4">
      <c r="A568" s="2">
        <v>45717</v>
      </c>
      <c r="B568" t="s">
        <v>164</v>
      </c>
      <c r="C568">
        <v>274</v>
      </c>
      <c r="D568">
        <v>42669.04</v>
      </c>
    </row>
    <row r="569" spans="1:4">
      <c r="A569" s="2">
        <v>45748</v>
      </c>
      <c r="B569" t="s">
        <v>164</v>
      </c>
      <c r="C569">
        <v>300</v>
      </c>
      <c r="D569">
        <v>44769.52</v>
      </c>
    </row>
    <row r="570" spans="1:4">
      <c r="A570" s="2">
        <v>45778</v>
      </c>
      <c r="B570" t="s">
        <v>164</v>
      </c>
      <c r="C570">
        <v>391</v>
      </c>
      <c r="D570">
        <v>64746.48</v>
      </c>
    </row>
    <row r="571" spans="1:4">
      <c r="A571" s="2">
        <v>45809</v>
      </c>
      <c r="B571" t="s">
        <v>164</v>
      </c>
      <c r="C571">
        <v>324</v>
      </c>
      <c r="D571">
        <v>47464.99</v>
      </c>
    </row>
    <row r="572" spans="1:4">
      <c r="A572" s="2">
        <v>45839</v>
      </c>
      <c r="B572" t="s">
        <v>164</v>
      </c>
      <c r="C572">
        <v>285</v>
      </c>
      <c r="D572">
        <v>41419.21</v>
      </c>
    </row>
    <row r="573" spans="1:4">
      <c r="A573" s="2">
        <v>45870</v>
      </c>
      <c r="B573" t="s">
        <v>164</v>
      </c>
      <c r="C573">
        <v>416</v>
      </c>
      <c r="D573">
        <v>65692.74</v>
      </c>
    </row>
    <row r="574" spans="1:4">
      <c r="A574" s="2">
        <v>45901</v>
      </c>
      <c r="B574" t="s">
        <v>164</v>
      </c>
      <c r="C574">
        <v>187</v>
      </c>
      <c r="D574">
        <v>21348.93</v>
      </c>
    </row>
    <row r="575" spans="1:4">
      <c r="A575" s="2">
        <v>45931</v>
      </c>
      <c r="B575" t="s">
        <v>164</v>
      </c>
      <c r="C575">
        <v>209</v>
      </c>
      <c r="D575">
        <v>34047.14</v>
      </c>
    </row>
    <row r="576" spans="1:4">
      <c r="A576" s="2">
        <v>45962</v>
      </c>
      <c r="B576" t="s">
        <v>164</v>
      </c>
      <c r="C576">
        <v>317</v>
      </c>
      <c r="D576">
        <v>44219.1</v>
      </c>
    </row>
    <row r="577" spans="1:4">
      <c r="A577" s="2">
        <v>45992</v>
      </c>
      <c r="B577" t="s">
        <v>164</v>
      </c>
      <c r="C577">
        <v>256</v>
      </c>
      <c r="D577">
        <v>29427.04</v>
      </c>
    </row>
    <row r="578" spans="1:4">
      <c r="A578" s="2">
        <v>45658</v>
      </c>
      <c r="B578" t="s">
        <v>166</v>
      </c>
      <c r="C578">
        <v>332</v>
      </c>
      <c r="D578">
        <v>14941.96</v>
      </c>
    </row>
    <row r="579" spans="1:4">
      <c r="A579" s="2">
        <v>45689</v>
      </c>
      <c r="B579" t="s">
        <v>166</v>
      </c>
      <c r="C579">
        <v>159</v>
      </c>
      <c r="D579">
        <v>9329.54</v>
      </c>
    </row>
    <row r="580" spans="1:4">
      <c r="A580" s="2">
        <v>45717</v>
      </c>
      <c r="B580" t="s">
        <v>166</v>
      </c>
      <c r="C580">
        <v>171</v>
      </c>
      <c r="D580">
        <v>7606.98</v>
      </c>
    </row>
    <row r="581" spans="1:4">
      <c r="A581" s="2">
        <v>45748</v>
      </c>
      <c r="B581" t="s">
        <v>166</v>
      </c>
      <c r="C581">
        <v>40</v>
      </c>
      <c r="D581">
        <v>2364.73</v>
      </c>
    </row>
    <row r="582" spans="1:4">
      <c r="A582" s="2">
        <v>45778</v>
      </c>
      <c r="B582" t="s">
        <v>166</v>
      </c>
      <c r="C582">
        <v>275</v>
      </c>
      <c r="D582">
        <v>17165.35</v>
      </c>
    </row>
    <row r="583" spans="1:4">
      <c r="A583" s="2">
        <v>45809</v>
      </c>
      <c r="B583" t="s">
        <v>166</v>
      </c>
      <c r="C583">
        <v>220</v>
      </c>
      <c r="D583">
        <v>12123.26</v>
      </c>
    </row>
    <row r="584" spans="1:4">
      <c r="A584" s="2">
        <v>45839</v>
      </c>
      <c r="B584" t="s">
        <v>166</v>
      </c>
      <c r="C584">
        <v>149</v>
      </c>
      <c r="D584">
        <v>8180.22</v>
      </c>
    </row>
    <row r="585" spans="1:4">
      <c r="A585" s="2">
        <v>45870</v>
      </c>
      <c r="B585" t="s">
        <v>166</v>
      </c>
      <c r="C585">
        <v>227</v>
      </c>
      <c r="D585">
        <v>13062.84</v>
      </c>
    </row>
    <row r="586" spans="1:4">
      <c r="A586" s="2">
        <v>45901</v>
      </c>
      <c r="B586" t="s">
        <v>166</v>
      </c>
      <c r="C586">
        <v>409</v>
      </c>
      <c r="D586">
        <v>22619.34</v>
      </c>
    </row>
    <row r="587" spans="1:4">
      <c r="A587" s="2">
        <v>45931</v>
      </c>
      <c r="B587" t="s">
        <v>166</v>
      </c>
      <c r="C587">
        <v>182</v>
      </c>
      <c r="D587">
        <v>12018.95</v>
      </c>
    </row>
    <row r="588" spans="1:4">
      <c r="A588" s="2">
        <v>45962</v>
      </c>
      <c r="B588" t="s">
        <v>166</v>
      </c>
      <c r="C588">
        <v>210</v>
      </c>
      <c r="D588">
        <v>14738.94</v>
      </c>
    </row>
    <row r="589" spans="1:4">
      <c r="A589" s="2">
        <v>45992</v>
      </c>
      <c r="B589" t="s">
        <v>166</v>
      </c>
      <c r="C589">
        <v>161</v>
      </c>
      <c r="D589">
        <v>11064.27</v>
      </c>
    </row>
    <row r="590" spans="1:4">
      <c r="A590" s="2">
        <v>45658</v>
      </c>
      <c r="B590" t="s">
        <v>168</v>
      </c>
      <c r="C590">
        <v>99</v>
      </c>
      <c r="D590">
        <v>13197.21</v>
      </c>
    </row>
    <row r="591" spans="1:4">
      <c r="A591" s="2">
        <v>45689</v>
      </c>
      <c r="B591" t="s">
        <v>168</v>
      </c>
      <c r="C591">
        <v>230</v>
      </c>
      <c r="D591">
        <v>33665.88</v>
      </c>
    </row>
    <row r="592" spans="1:4">
      <c r="A592" s="2">
        <v>45717</v>
      </c>
      <c r="B592" t="s">
        <v>168</v>
      </c>
      <c r="C592">
        <v>79</v>
      </c>
      <c r="D592">
        <v>10977.03</v>
      </c>
    </row>
    <row r="593" spans="1:4">
      <c r="A593" s="2">
        <v>45748</v>
      </c>
      <c r="B593" t="s">
        <v>168</v>
      </c>
      <c r="C593">
        <v>243</v>
      </c>
      <c r="D593">
        <v>25130.52</v>
      </c>
    </row>
    <row r="594" spans="1:4">
      <c r="A594" s="2">
        <v>45778</v>
      </c>
      <c r="B594" t="s">
        <v>168</v>
      </c>
      <c r="C594">
        <v>244</v>
      </c>
      <c r="D594">
        <v>34079.77</v>
      </c>
    </row>
    <row r="595" spans="1:4">
      <c r="A595" s="2">
        <v>45809</v>
      </c>
      <c r="B595" t="s">
        <v>168</v>
      </c>
      <c r="C595">
        <v>207</v>
      </c>
      <c r="D595">
        <v>23573.19</v>
      </c>
    </row>
    <row r="596" spans="1:4">
      <c r="A596" s="2">
        <v>45839</v>
      </c>
      <c r="B596" t="s">
        <v>168</v>
      </c>
      <c r="C596">
        <v>177</v>
      </c>
      <c r="D596">
        <v>25049.06</v>
      </c>
    </row>
    <row r="597" spans="1:4">
      <c r="A597" s="2">
        <v>45870</v>
      </c>
      <c r="B597" t="s">
        <v>168</v>
      </c>
      <c r="C597">
        <v>194</v>
      </c>
      <c r="D597">
        <v>19289.37</v>
      </c>
    </row>
    <row r="598" spans="1:4">
      <c r="A598" s="2">
        <v>45901</v>
      </c>
      <c r="B598" t="s">
        <v>168</v>
      </c>
      <c r="C598">
        <v>75</v>
      </c>
      <c r="D598">
        <v>9783.41</v>
      </c>
    </row>
    <row r="599" spans="1:4">
      <c r="A599" s="2">
        <v>45931</v>
      </c>
      <c r="B599" t="s">
        <v>168</v>
      </c>
      <c r="C599">
        <v>220</v>
      </c>
      <c r="D599">
        <v>27009.99</v>
      </c>
    </row>
    <row r="600" spans="1:4">
      <c r="A600" s="2">
        <v>45962</v>
      </c>
      <c r="B600" t="s">
        <v>168</v>
      </c>
      <c r="C600">
        <v>237</v>
      </c>
      <c r="D600">
        <v>22744.13</v>
      </c>
    </row>
    <row r="601" spans="1:4">
      <c r="A601" s="2">
        <v>45992</v>
      </c>
      <c r="B601" t="s">
        <v>168</v>
      </c>
      <c r="C601">
        <v>198</v>
      </c>
      <c r="D601">
        <v>26780</v>
      </c>
    </row>
    <row r="602" spans="1:4">
      <c r="A602" s="2">
        <v>45658</v>
      </c>
      <c r="B602" t="s">
        <v>170</v>
      </c>
      <c r="C602">
        <v>296</v>
      </c>
      <c r="D602">
        <v>2103.71</v>
      </c>
    </row>
    <row r="603" spans="1:4">
      <c r="A603" s="2">
        <v>45689</v>
      </c>
      <c r="B603" t="s">
        <v>170</v>
      </c>
      <c r="C603">
        <v>228</v>
      </c>
      <c r="D603">
        <v>1580.23</v>
      </c>
    </row>
    <row r="604" spans="1:4">
      <c r="A604" s="2">
        <v>45717</v>
      </c>
      <c r="B604" t="s">
        <v>170</v>
      </c>
      <c r="C604">
        <v>407</v>
      </c>
      <c r="D604">
        <v>2693.23</v>
      </c>
    </row>
    <row r="605" spans="1:4">
      <c r="A605" s="2">
        <v>45748</v>
      </c>
      <c r="B605" t="s">
        <v>170</v>
      </c>
      <c r="C605">
        <v>294</v>
      </c>
      <c r="D605">
        <v>1450</v>
      </c>
    </row>
    <row r="606" spans="1:4">
      <c r="A606" s="2">
        <v>45778</v>
      </c>
      <c r="B606" t="s">
        <v>170</v>
      </c>
      <c r="C606">
        <v>299</v>
      </c>
      <c r="D606">
        <v>1766.05</v>
      </c>
    </row>
    <row r="607" spans="1:4">
      <c r="A607" s="2">
        <v>45809</v>
      </c>
      <c r="B607" t="s">
        <v>170</v>
      </c>
      <c r="C607">
        <v>351</v>
      </c>
      <c r="D607">
        <v>1810.63</v>
      </c>
    </row>
    <row r="608" spans="1:4">
      <c r="A608" s="2">
        <v>45839</v>
      </c>
      <c r="B608" t="s">
        <v>170</v>
      </c>
      <c r="C608">
        <v>286</v>
      </c>
      <c r="D608">
        <v>1748.9</v>
      </c>
    </row>
    <row r="609" spans="1:4">
      <c r="A609" s="2">
        <v>45870</v>
      </c>
      <c r="B609" t="s">
        <v>170</v>
      </c>
      <c r="C609">
        <v>403</v>
      </c>
      <c r="D609">
        <v>2547.68</v>
      </c>
    </row>
    <row r="610" spans="1:4">
      <c r="A610" s="2">
        <v>45901</v>
      </c>
      <c r="B610" t="s">
        <v>170</v>
      </c>
      <c r="C610">
        <v>273</v>
      </c>
      <c r="D610">
        <v>1438.43</v>
      </c>
    </row>
    <row r="611" spans="1:4">
      <c r="A611" s="2">
        <v>45931</v>
      </c>
      <c r="B611" t="s">
        <v>170</v>
      </c>
      <c r="C611">
        <v>244</v>
      </c>
      <c r="D611">
        <v>1421.49</v>
      </c>
    </row>
    <row r="612" spans="1:4">
      <c r="A612" s="2">
        <v>45962</v>
      </c>
      <c r="B612" t="s">
        <v>170</v>
      </c>
      <c r="C612">
        <v>241</v>
      </c>
      <c r="D612">
        <v>1807.36</v>
      </c>
    </row>
    <row r="613" spans="1:4">
      <c r="A613" s="2">
        <v>45992</v>
      </c>
      <c r="B613" t="s">
        <v>170</v>
      </c>
      <c r="C613">
        <v>235</v>
      </c>
      <c r="D613">
        <v>1465.52</v>
      </c>
    </row>
    <row r="614" spans="1:4">
      <c r="A614" s="2">
        <v>45658</v>
      </c>
      <c r="B614" t="s">
        <v>172</v>
      </c>
      <c r="C614">
        <v>681</v>
      </c>
      <c r="D614">
        <v>3424.58</v>
      </c>
    </row>
    <row r="615" spans="1:4">
      <c r="A615" s="2">
        <v>45689</v>
      </c>
      <c r="B615" t="s">
        <v>172</v>
      </c>
      <c r="C615">
        <v>612</v>
      </c>
      <c r="D615">
        <v>3035.06</v>
      </c>
    </row>
    <row r="616" spans="1:4">
      <c r="A616" s="2">
        <v>45717</v>
      </c>
      <c r="B616" t="s">
        <v>172</v>
      </c>
      <c r="C616">
        <v>564</v>
      </c>
      <c r="D616">
        <v>2507.74</v>
      </c>
    </row>
    <row r="617" spans="1:4">
      <c r="A617" s="2">
        <v>45748</v>
      </c>
      <c r="B617" t="s">
        <v>172</v>
      </c>
      <c r="C617">
        <v>626</v>
      </c>
      <c r="D617">
        <v>3370.41</v>
      </c>
    </row>
    <row r="618" spans="1:4">
      <c r="A618" s="2">
        <v>45778</v>
      </c>
      <c r="B618" t="s">
        <v>172</v>
      </c>
      <c r="C618">
        <v>786</v>
      </c>
      <c r="D618">
        <v>4726.4</v>
      </c>
    </row>
    <row r="619" spans="1:4">
      <c r="A619" s="2">
        <v>45809</v>
      </c>
      <c r="B619" t="s">
        <v>172</v>
      </c>
      <c r="C619">
        <v>207</v>
      </c>
      <c r="D619">
        <v>1112.13</v>
      </c>
    </row>
    <row r="620" spans="1:4">
      <c r="A620" s="2">
        <v>45839</v>
      </c>
      <c r="B620" t="s">
        <v>172</v>
      </c>
      <c r="C620">
        <v>516</v>
      </c>
      <c r="D620">
        <v>2813.06</v>
      </c>
    </row>
    <row r="621" spans="1:4">
      <c r="A621" s="2">
        <v>45870</v>
      </c>
      <c r="B621" t="s">
        <v>172</v>
      </c>
      <c r="C621">
        <v>514</v>
      </c>
      <c r="D621">
        <v>3012.01</v>
      </c>
    </row>
    <row r="622" spans="1:4">
      <c r="A622" s="2">
        <v>45901</v>
      </c>
      <c r="B622" t="s">
        <v>172</v>
      </c>
      <c r="C622">
        <v>554</v>
      </c>
      <c r="D622">
        <v>3396.74</v>
      </c>
    </row>
    <row r="623" spans="1:4">
      <c r="A623" s="2">
        <v>45931</v>
      </c>
      <c r="B623" t="s">
        <v>172</v>
      </c>
      <c r="C623">
        <v>770</v>
      </c>
      <c r="D623">
        <v>4701.04</v>
      </c>
    </row>
    <row r="624" spans="1:4">
      <c r="A624" s="2">
        <v>45962</v>
      </c>
      <c r="B624" t="s">
        <v>172</v>
      </c>
      <c r="C624">
        <v>521</v>
      </c>
      <c r="D624">
        <v>2601.9</v>
      </c>
    </row>
    <row r="625" spans="1:4">
      <c r="A625" s="2">
        <v>45992</v>
      </c>
      <c r="B625" t="s">
        <v>172</v>
      </c>
      <c r="C625">
        <v>676</v>
      </c>
      <c r="D625">
        <v>3767.95</v>
      </c>
    </row>
    <row r="626" spans="1:4">
      <c r="A626" s="2">
        <v>45658</v>
      </c>
      <c r="B626" t="s">
        <v>174</v>
      </c>
      <c r="C626">
        <v>846</v>
      </c>
      <c r="D626">
        <v>98302.18</v>
      </c>
    </row>
    <row r="627" spans="1:4">
      <c r="A627" s="2">
        <v>45689</v>
      </c>
      <c r="B627" t="s">
        <v>174</v>
      </c>
      <c r="C627">
        <v>885</v>
      </c>
      <c r="D627">
        <v>91991.42</v>
      </c>
    </row>
    <row r="628" spans="1:4">
      <c r="A628" s="2">
        <v>45717</v>
      </c>
      <c r="B628" t="s">
        <v>174</v>
      </c>
      <c r="C628">
        <v>701</v>
      </c>
      <c r="D628">
        <v>74919.1</v>
      </c>
    </row>
    <row r="629" spans="1:4">
      <c r="A629" s="2">
        <v>45748</v>
      </c>
      <c r="B629" t="s">
        <v>174</v>
      </c>
      <c r="C629">
        <v>460</v>
      </c>
      <c r="D629">
        <v>47254.93</v>
      </c>
    </row>
    <row r="630" spans="1:4">
      <c r="A630" s="2">
        <v>45778</v>
      </c>
      <c r="B630" t="s">
        <v>174</v>
      </c>
      <c r="C630">
        <v>1219</v>
      </c>
      <c r="D630">
        <v>99591.64</v>
      </c>
    </row>
    <row r="631" spans="1:4">
      <c r="A631" s="2">
        <v>45809</v>
      </c>
      <c r="B631" t="s">
        <v>174</v>
      </c>
      <c r="C631">
        <v>865</v>
      </c>
      <c r="D631">
        <v>75670.37</v>
      </c>
    </row>
    <row r="632" spans="1:4">
      <c r="A632" s="2">
        <v>45839</v>
      </c>
      <c r="B632" t="s">
        <v>174</v>
      </c>
      <c r="C632">
        <v>886</v>
      </c>
      <c r="D632">
        <v>96297.17</v>
      </c>
    </row>
    <row r="633" spans="1:4">
      <c r="A633" s="2">
        <v>45870</v>
      </c>
      <c r="B633" t="s">
        <v>174</v>
      </c>
      <c r="C633">
        <v>870</v>
      </c>
      <c r="D633">
        <v>81246.39</v>
      </c>
    </row>
    <row r="634" spans="1:4">
      <c r="A634" s="2">
        <v>45901</v>
      </c>
      <c r="B634" t="s">
        <v>174</v>
      </c>
      <c r="C634">
        <v>1027</v>
      </c>
      <c r="D634">
        <v>112678.75</v>
      </c>
    </row>
    <row r="635" spans="1:4">
      <c r="A635" s="2">
        <v>45931</v>
      </c>
      <c r="B635" t="s">
        <v>174</v>
      </c>
      <c r="C635">
        <v>578</v>
      </c>
      <c r="D635">
        <v>52057.39</v>
      </c>
    </row>
    <row r="636" spans="1:4">
      <c r="A636" s="2">
        <v>45962</v>
      </c>
      <c r="B636" t="s">
        <v>174</v>
      </c>
      <c r="C636">
        <v>478</v>
      </c>
      <c r="D636">
        <v>50204.99</v>
      </c>
    </row>
    <row r="637" spans="1:4">
      <c r="A637" s="2">
        <v>45992</v>
      </c>
      <c r="B637" t="s">
        <v>174</v>
      </c>
      <c r="C637">
        <v>458</v>
      </c>
      <c r="D637">
        <v>46798.22</v>
      </c>
    </row>
    <row r="638" spans="1:4">
      <c r="A638" s="2">
        <v>45658</v>
      </c>
      <c r="B638" t="s">
        <v>176</v>
      </c>
      <c r="C638">
        <v>295</v>
      </c>
      <c r="D638">
        <v>14165.38</v>
      </c>
    </row>
    <row r="639" spans="1:4">
      <c r="A639" s="2">
        <v>45689</v>
      </c>
      <c r="B639" t="s">
        <v>176</v>
      </c>
      <c r="C639">
        <v>106</v>
      </c>
      <c r="D639">
        <v>4710.4</v>
      </c>
    </row>
    <row r="640" spans="1:4">
      <c r="A640" s="2">
        <v>45717</v>
      </c>
      <c r="B640" t="s">
        <v>176</v>
      </c>
      <c r="C640">
        <v>445</v>
      </c>
      <c r="D640">
        <v>21246.05</v>
      </c>
    </row>
    <row r="641" spans="1:4">
      <c r="A641" s="2">
        <v>45748</v>
      </c>
      <c r="B641" t="s">
        <v>176</v>
      </c>
      <c r="C641">
        <v>321</v>
      </c>
      <c r="D641">
        <v>19328.61</v>
      </c>
    </row>
    <row r="642" spans="1:4">
      <c r="A642" s="2">
        <v>45778</v>
      </c>
      <c r="B642" t="s">
        <v>176</v>
      </c>
      <c r="C642">
        <v>374</v>
      </c>
      <c r="D642">
        <v>21144.9</v>
      </c>
    </row>
    <row r="643" spans="1:4">
      <c r="A643" s="2">
        <v>45809</v>
      </c>
      <c r="B643" t="s">
        <v>176</v>
      </c>
      <c r="C643">
        <v>515</v>
      </c>
      <c r="D643">
        <v>28715.72</v>
      </c>
    </row>
    <row r="644" spans="1:4">
      <c r="A644" s="2">
        <v>45839</v>
      </c>
      <c r="B644" t="s">
        <v>176</v>
      </c>
      <c r="C644">
        <v>674</v>
      </c>
      <c r="D644">
        <v>43315</v>
      </c>
    </row>
    <row r="645" spans="1:4">
      <c r="A645" s="2">
        <v>45870</v>
      </c>
      <c r="B645" t="s">
        <v>176</v>
      </c>
      <c r="C645">
        <v>322</v>
      </c>
      <c r="D645">
        <v>14699.75</v>
      </c>
    </row>
    <row r="646" spans="1:4">
      <c r="A646" s="2">
        <v>45901</v>
      </c>
      <c r="B646" t="s">
        <v>176</v>
      </c>
      <c r="C646">
        <v>326</v>
      </c>
      <c r="D646">
        <v>18834.77</v>
      </c>
    </row>
    <row r="647" spans="1:4">
      <c r="A647" s="2">
        <v>45931</v>
      </c>
      <c r="B647" t="s">
        <v>176</v>
      </c>
      <c r="C647">
        <v>412</v>
      </c>
      <c r="D647">
        <v>19273.45</v>
      </c>
    </row>
    <row r="648" spans="1:4">
      <c r="A648" s="2">
        <v>45962</v>
      </c>
      <c r="B648" t="s">
        <v>176</v>
      </c>
      <c r="C648">
        <v>379</v>
      </c>
      <c r="D648">
        <v>18515.69</v>
      </c>
    </row>
    <row r="649" spans="1:4">
      <c r="A649" s="2">
        <v>45992</v>
      </c>
      <c r="B649" t="s">
        <v>176</v>
      </c>
      <c r="C649">
        <v>713</v>
      </c>
      <c r="D649">
        <v>44210.07</v>
      </c>
    </row>
    <row r="650" spans="1:4">
      <c r="A650" s="2">
        <v>45658</v>
      </c>
      <c r="B650" t="s">
        <v>178</v>
      </c>
      <c r="C650">
        <v>375</v>
      </c>
      <c r="D650">
        <v>31959</v>
      </c>
    </row>
    <row r="651" spans="1:4">
      <c r="A651" s="2">
        <v>45689</v>
      </c>
      <c r="B651" t="s">
        <v>178</v>
      </c>
      <c r="C651">
        <v>851</v>
      </c>
      <c r="D651">
        <v>74443.49</v>
      </c>
    </row>
    <row r="652" spans="1:4">
      <c r="A652" s="2">
        <v>45717</v>
      </c>
      <c r="B652" t="s">
        <v>178</v>
      </c>
      <c r="C652">
        <v>603</v>
      </c>
      <c r="D652">
        <v>43543</v>
      </c>
    </row>
    <row r="653" spans="1:4">
      <c r="A653" s="2">
        <v>45748</v>
      </c>
      <c r="B653" t="s">
        <v>178</v>
      </c>
      <c r="C653">
        <v>68</v>
      </c>
      <c r="D653">
        <v>6863.43</v>
      </c>
    </row>
    <row r="654" spans="1:4">
      <c r="A654" s="2">
        <v>45778</v>
      </c>
      <c r="B654" t="s">
        <v>178</v>
      </c>
      <c r="C654">
        <v>762</v>
      </c>
      <c r="D654">
        <v>54208.45</v>
      </c>
    </row>
    <row r="655" spans="1:4">
      <c r="A655" s="2">
        <v>45809</v>
      </c>
      <c r="B655" t="s">
        <v>178</v>
      </c>
      <c r="C655">
        <v>729</v>
      </c>
      <c r="D655">
        <v>59911.91</v>
      </c>
    </row>
    <row r="656" spans="1:4">
      <c r="A656" s="2">
        <v>45839</v>
      </c>
      <c r="B656" t="s">
        <v>178</v>
      </c>
      <c r="C656">
        <v>985</v>
      </c>
      <c r="D656">
        <v>71476.29</v>
      </c>
    </row>
    <row r="657" spans="1:4">
      <c r="A657" s="2">
        <v>45870</v>
      </c>
      <c r="B657" t="s">
        <v>178</v>
      </c>
      <c r="C657">
        <v>828</v>
      </c>
      <c r="D657">
        <v>67095.67</v>
      </c>
    </row>
    <row r="658" spans="1:4">
      <c r="A658" s="2">
        <v>45901</v>
      </c>
      <c r="B658" t="s">
        <v>178</v>
      </c>
      <c r="C658">
        <v>771</v>
      </c>
      <c r="D658">
        <v>58383.36</v>
      </c>
    </row>
    <row r="659" spans="1:4">
      <c r="A659" s="2">
        <v>45931</v>
      </c>
      <c r="B659" t="s">
        <v>178</v>
      </c>
      <c r="C659">
        <v>1066</v>
      </c>
      <c r="D659">
        <v>70661.95</v>
      </c>
    </row>
    <row r="660" spans="1:4">
      <c r="A660" s="2">
        <v>45962</v>
      </c>
      <c r="B660" t="s">
        <v>178</v>
      </c>
      <c r="C660">
        <v>784</v>
      </c>
      <c r="D660">
        <v>71494.63</v>
      </c>
    </row>
    <row r="661" spans="1:4">
      <c r="A661" s="2">
        <v>45992</v>
      </c>
      <c r="B661" t="s">
        <v>178</v>
      </c>
      <c r="C661">
        <v>309</v>
      </c>
      <c r="D661">
        <v>25971.79</v>
      </c>
    </row>
    <row r="662" spans="1:4">
      <c r="A662" s="2">
        <v>45658</v>
      </c>
      <c r="B662" t="s">
        <v>180</v>
      </c>
      <c r="C662">
        <v>89</v>
      </c>
      <c r="D662">
        <v>11031.18</v>
      </c>
    </row>
    <row r="663" spans="1:4">
      <c r="A663" s="2">
        <v>45689</v>
      </c>
      <c r="B663" t="s">
        <v>180</v>
      </c>
      <c r="C663">
        <v>82</v>
      </c>
      <c r="D663">
        <v>11681.21</v>
      </c>
    </row>
    <row r="664" spans="1:4">
      <c r="A664" s="2">
        <v>45717</v>
      </c>
      <c r="B664" t="s">
        <v>180</v>
      </c>
      <c r="C664">
        <v>97</v>
      </c>
      <c r="D664">
        <v>12937.27</v>
      </c>
    </row>
    <row r="665" spans="1:4">
      <c r="A665" s="2">
        <v>45748</v>
      </c>
      <c r="B665" t="s">
        <v>180</v>
      </c>
      <c r="C665">
        <v>89</v>
      </c>
      <c r="D665">
        <v>12209.7</v>
      </c>
    </row>
    <row r="666" spans="1:4">
      <c r="A666" s="2">
        <v>45778</v>
      </c>
      <c r="B666" t="s">
        <v>180</v>
      </c>
      <c r="C666">
        <v>55</v>
      </c>
      <c r="D666">
        <v>7723.58</v>
      </c>
    </row>
    <row r="667" spans="1:4">
      <c r="A667" s="2">
        <v>45809</v>
      </c>
      <c r="B667" t="s">
        <v>180</v>
      </c>
      <c r="C667">
        <v>3</v>
      </c>
      <c r="D667">
        <v>373.61</v>
      </c>
    </row>
    <row r="668" spans="1:4">
      <c r="A668" s="2">
        <v>45839</v>
      </c>
      <c r="B668" t="s">
        <v>180</v>
      </c>
      <c r="C668">
        <v>94</v>
      </c>
      <c r="D668">
        <v>10879.98</v>
      </c>
    </row>
    <row r="669" spans="1:4">
      <c r="A669" s="2">
        <v>45870</v>
      </c>
      <c r="B669" t="s">
        <v>180</v>
      </c>
      <c r="C669">
        <v>74</v>
      </c>
      <c r="D669">
        <v>9059.66</v>
      </c>
    </row>
    <row r="670" spans="1:4">
      <c r="A670" s="2">
        <v>45901</v>
      </c>
      <c r="B670" t="s">
        <v>180</v>
      </c>
      <c r="C670">
        <v>60</v>
      </c>
      <c r="D670">
        <v>6693.36</v>
      </c>
    </row>
    <row r="671" spans="1:4">
      <c r="A671" s="2">
        <v>45931</v>
      </c>
      <c r="B671" t="s">
        <v>180</v>
      </c>
      <c r="C671">
        <v>57</v>
      </c>
      <c r="D671">
        <v>8461.12</v>
      </c>
    </row>
    <row r="672" spans="1:4">
      <c r="A672" s="2">
        <v>45962</v>
      </c>
      <c r="B672" t="s">
        <v>180</v>
      </c>
      <c r="C672">
        <v>78</v>
      </c>
      <c r="D672">
        <v>10130.95</v>
      </c>
    </row>
    <row r="673" spans="1:4">
      <c r="A673" s="2">
        <v>45992</v>
      </c>
      <c r="B673" t="s">
        <v>180</v>
      </c>
      <c r="C673">
        <v>63</v>
      </c>
      <c r="D673">
        <v>6861.28</v>
      </c>
    </row>
    <row r="674" spans="1:4">
      <c r="A674" s="2">
        <v>45658</v>
      </c>
      <c r="B674" t="s">
        <v>182</v>
      </c>
      <c r="C674">
        <v>338</v>
      </c>
      <c r="D674">
        <v>35650.33</v>
      </c>
    </row>
    <row r="675" spans="1:4">
      <c r="A675" s="2">
        <v>45689</v>
      </c>
      <c r="B675" t="s">
        <v>182</v>
      </c>
      <c r="C675">
        <v>314</v>
      </c>
      <c r="D675">
        <v>25141.16</v>
      </c>
    </row>
    <row r="676" spans="1:4">
      <c r="A676" s="2">
        <v>45717</v>
      </c>
      <c r="B676" t="s">
        <v>182</v>
      </c>
      <c r="C676">
        <v>524</v>
      </c>
      <c r="D676">
        <v>46605.52</v>
      </c>
    </row>
    <row r="677" spans="1:4">
      <c r="A677" s="2">
        <v>45748</v>
      </c>
      <c r="B677" t="s">
        <v>182</v>
      </c>
      <c r="C677">
        <v>410</v>
      </c>
      <c r="D677">
        <v>37956.27</v>
      </c>
    </row>
    <row r="678" spans="1:4">
      <c r="A678" s="2">
        <v>45778</v>
      </c>
      <c r="B678" t="s">
        <v>182</v>
      </c>
      <c r="C678">
        <v>373</v>
      </c>
      <c r="D678">
        <v>39209.59</v>
      </c>
    </row>
    <row r="679" spans="1:4">
      <c r="A679" s="2">
        <v>45809</v>
      </c>
      <c r="B679" t="s">
        <v>182</v>
      </c>
      <c r="C679">
        <v>794</v>
      </c>
      <c r="D679">
        <v>84936.83</v>
      </c>
    </row>
    <row r="680" spans="1:4">
      <c r="A680" s="2">
        <v>45839</v>
      </c>
      <c r="B680" t="s">
        <v>182</v>
      </c>
      <c r="C680">
        <v>390</v>
      </c>
      <c r="D680">
        <v>30887.07</v>
      </c>
    </row>
    <row r="681" spans="1:4">
      <c r="A681" s="2">
        <v>45870</v>
      </c>
      <c r="B681" t="s">
        <v>182</v>
      </c>
      <c r="C681">
        <v>623</v>
      </c>
      <c r="D681">
        <v>53025.26</v>
      </c>
    </row>
    <row r="682" spans="1:4">
      <c r="A682" s="2">
        <v>45901</v>
      </c>
      <c r="B682" t="s">
        <v>182</v>
      </c>
      <c r="C682">
        <v>644</v>
      </c>
      <c r="D682">
        <v>71947.17</v>
      </c>
    </row>
    <row r="683" spans="1:4">
      <c r="A683" s="2">
        <v>45931</v>
      </c>
      <c r="B683" t="s">
        <v>182</v>
      </c>
      <c r="C683">
        <v>359</v>
      </c>
      <c r="D683">
        <v>36826.66</v>
      </c>
    </row>
    <row r="684" spans="1:4">
      <c r="A684" s="2">
        <v>45962</v>
      </c>
      <c r="B684" t="s">
        <v>182</v>
      </c>
      <c r="C684">
        <v>364</v>
      </c>
      <c r="D684">
        <v>32170.93</v>
      </c>
    </row>
    <row r="685" spans="1:4">
      <c r="A685" s="2">
        <v>45992</v>
      </c>
      <c r="B685" t="s">
        <v>182</v>
      </c>
      <c r="C685">
        <v>339</v>
      </c>
      <c r="D685">
        <v>34676.27</v>
      </c>
    </row>
    <row r="686" spans="1:4">
      <c r="A686" s="2">
        <v>45658</v>
      </c>
      <c r="B686" t="s">
        <v>184</v>
      </c>
      <c r="C686">
        <v>565</v>
      </c>
      <c r="D686">
        <v>57814.42</v>
      </c>
    </row>
    <row r="687" spans="1:4">
      <c r="A687" s="2">
        <v>45689</v>
      </c>
      <c r="B687" t="s">
        <v>184</v>
      </c>
      <c r="C687">
        <v>821</v>
      </c>
      <c r="D687">
        <v>67976.49</v>
      </c>
    </row>
    <row r="688" spans="1:4">
      <c r="A688" s="2">
        <v>45717</v>
      </c>
      <c r="B688" t="s">
        <v>184</v>
      </c>
      <c r="C688">
        <v>709</v>
      </c>
      <c r="D688">
        <v>55788.66</v>
      </c>
    </row>
    <row r="689" spans="1:4">
      <c r="A689" s="2">
        <v>45748</v>
      </c>
      <c r="B689" t="s">
        <v>184</v>
      </c>
      <c r="C689">
        <v>956</v>
      </c>
      <c r="D689">
        <v>75435.05</v>
      </c>
    </row>
    <row r="690" spans="1:4">
      <c r="A690" s="2">
        <v>45778</v>
      </c>
      <c r="B690" t="s">
        <v>184</v>
      </c>
      <c r="C690">
        <v>872</v>
      </c>
      <c r="D690">
        <v>63412.55</v>
      </c>
    </row>
    <row r="691" spans="1:4">
      <c r="A691" s="2">
        <v>45809</v>
      </c>
      <c r="B691" t="s">
        <v>184</v>
      </c>
      <c r="C691">
        <v>374</v>
      </c>
      <c r="D691">
        <v>41551.85</v>
      </c>
    </row>
    <row r="692" spans="1:4">
      <c r="A692" s="2">
        <v>45839</v>
      </c>
      <c r="B692" t="s">
        <v>184</v>
      </c>
      <c r="C692">
        <v>895</v>
      </c>
      <c r="D692">
        <v>95574.92</v>
      </c>
    </row>
    <row r="693" spans="1:4">
      <c r="A693" s="2">
        <v>45870</v>
      </c>
      <c r="B693" t="s">
        <v>184</v>
      </c>
      <c r="C693">
        <v>999</v>
      </c>
      <c r="D693">
        <v>103453.4</v>
      </c>
    </row>
    <row r="694" spans="1:4">
      <c r="A694" s="2">
        <v>45901</v>
      </c>
      <c r="B694" t="s">
        <v>184</v>
      </c>
      <c r="C694">
        <v>702</v>
      </c>
      <c r="D694">
        <v>76181.14</v>
      </c>
    </row>
    <row r="695" spans="1:4">
      <c r="A695" s="2">
        <v>45931</v>
      </c>
      <c r="B695" t="s">
        <v>184</v>
      </c>
      <c r="C695">
        <v>790</v>
      </c>
      <c r="D695">
        <v>75004.26</v>
      </c>
    </row>
    <row r="696" spans="1:4">
      <c r="A696" s="2">
        <v>45962</v>
      </c>
      <c r="B696" t="s">
        <v>184</v>
      </c>
      <c r="C696">
        <v>929</v>
      </c>
      <c r="D696">
        <v>82700.33</v>
      </c>
    </row>
    <row r="697" spans="1:4">
      <c r="A697" s="2">
        <v>45992</v>
      </c>
      <c r="B697" t="s">
        <v>184</v>
      </c>
      <c r="C697">
        <v>979</v>
      </c>
      <c r="D697">
        <v>107639.49</v>
      </c>
    </row>
    <row r="698" spans="1:4">
      <c r="A698" s="2">
        <v>45658</v>
      </c>
      <c r="B698" t="s">
        <v>186</v>
      </c>
      <c r="C698">
        <v>163</v>
      </c>
      <c r="D698">
        <v>7492.36</v>
      </c>
    </row>
    <row r="699" spans="1:4">
      <c r="A699" s="2">
        <v>45689</v>
      </c>
      <c r="B699" t="s">
        <v>186</v>
      </c>
      <c r="C699">
        <v>64</v>
      </c>
      <c r="D699">
        <v>3219.15</v>
      </c>
    </row>
    <row r="700" spans="1:4">
      <c r="A700" s="2">
        <v>45717</v>
      </c>
      <c r="B700" t="s">
        <v>186</v>
      </c>
      <c r="C700">
        <v>237</v>
      </c>
      <c r="D700">
        <v>11724.03</v>
      </c>
    </row>
    <row r="701" spans="1:4">
      <c r="A701" s="2">
        <v>45748</v>
      </c>
      <c r="B701" t="s">
        <v>186</v>
      </c>
      <c r="C701">
        <v>139</v>
      </c>
      <c r="D701">
        <v>5255.04</v>
      </c>
    </row>
    <row r="702" spans="1:4">
      <c r="A702" s="2">
        <v>45778</v>
      </c>
      <c r="B702" t="s">
        <v>186</v>
      </c>
      <c r="C702">
        <v>121</v>
      </c>
      <c r="D702">
        <v>4412.66</v>
      </c>
    </row>
    <row r="703" spans="1:4">
      <c r="A703" s="2">
        <v>45809</v>
      </c>
      <c r="B703" t="s">
        <v>186</v>
      </c>
      <c r="C703">
        <v>106</v>
      </c>
      <c r="D703">
        <v>4583.2</v>
      </c>
    </row>
    <row r="704" spans="1:4">
      <c r="A704" s="2">
        <v>45839</v>
      </c>
      <c r="B704" t="s">
        <v>186</v>
      </c>
      <c r="C704">
        <v>176</v>
      </c>
      <c r="D704">
        <v>6561.35</v>
      </c>
    </row>
    <row r="705" spans="1:4">
      <c r="A705" s="2">
        <v>45870</v>
      </c>
      <c r="B705" t="s">
        <v>186</v>
      </c>
      <c r="C705">
        <v>164</v>
      </c>
      <c r="D705">
        <v>7631.03</v>
      </c>
    </row>
    <row r="706" spans="1:4">
      <c r="A706" s="2">
        <v>45901</v>
      </c>
      <c r="B706" t="s">
        <v>186</v>
      </c>
      <c r="C706">
        <v>107</v>
      </c>
      <c r="D706">
        <v>5871.05</v>
      </c>
    </row>
    <row r="707" spans="1:4">
      <c r="A707" s="2">
        <v>45931</v>
      </c>
      <c r="B707" t="s">
        <v>186</v>
      </c>
      <c r="C707">
        <v>66</v>
      </c>
      <c r="D707">
        <v>2863.56</v>
      </c>
    </row>
    <row r="708" spans="1:4">
      <c r="A708" s="2">
        <v>45962</v>
      </c>
      <c r="B708" t="s">
        <v>186</v>
      </c>
      <c r="C708">
        <v>106</v>
      </c>
      <c r="D708">
        <v>5432.83</v>
      </c>
    </row>
    <row r="709" spans="1:4">
      <c r="A709" s="2">
        <v>45992</v>
      </c>
      <c r="B709" t="s">
        <v>186</v>
      </c>
      <c r="C709">
        <v>180</v>
      </c>
      <c r="D709">
        <v>8796.73</v>
      </c>
    </row>
    <row r="710" spans="1:4">
      <c r="A710" s="2">
        <v>45658</v>
      </c>
      <c r="B710" t="s">
        <v>188</v>
      </c>
      <c r="C710">
        <v>112</v>
      </c>
      <c r="D710">
        <v>10095.66</v>
      </c>
    </row>
    <row r="711" spans="1:4">
      <c r="A711" s="2">
        <v>45689</v>
      </c>
      <c r="B711" t="s">
        <v>188</v>
      </c>
      <c r="C711">
        <v>60</v>
      </c>
      <c r="D711">
        <v>5716.91</v>
      </c>
    </row>
    <row r="712" spans="1:4">
      <c r="A712" s="2">
        <v>45717</v>
      </c>
      <c r="B712" t="s">
        <v>188</v>
      </c>
      <c r="C712">
        <v>80</v>
      </c>
      <c r="D712">
        <v>7230.74</v>
      </c>
    </row>
    <row r="713" spans="1:4">
      <c r="A713" s="2">
        <v>45748</v>
      </c>
      <c r="B713" t="s">
        <v>188</v>
      </c>
      <c r="C713">
        <v>107</v>
      </c>
      <c r="D713">
        <v>7775.15</v>
      </c>
    </row>
    <row r="714" spans="1:4">
      <c r="A714" s="2">
        <v>45778</v>
      </c>
      <c r="B714" t="s">
        <v>188</v>
      </c>
      <c r="C714">
        <v>118</v>
      </c>
      <c r="D714">
        <v>13021.94</v>
      </c>
    </row>
    <row r="715" spans="1:4">
      <c r="A715" s="2">
        <v>45809</v>
      </c>
      <c r="B715" t="s">
        <v>188</v>
      </c>
      <c r="C715">
        <v>95</v>
      </c>
      <c r="D715">
        <v>10195.25</v>
      </c>
    </row>
    <row r="716" spans="1:4">
      <c r="A716" s="2">
        <v>45839</v>
      </c>
      <c r="B716" t="s">
        <v>188</v>
      </c>
      <c r="C716">
        <v>121</v>
      </c>
      <c r="D716">
        <v>10137.51</v>
      </c>
    </row>
    <row r="717" spans="1:4">
      <c r="A717" s="2">
        <v>45870</v>
      </c>
      <c r="B717" t="s">
        <v>188</v>
      </c>
      <c r="C717">
        <v>136</v>
      </c>
      <c r="D717">
        <v>12469.59</v>
      </c>
    </row>
    <row r="718" spans="1:4">
      <c r="A718" s="2">
        <v>45901</v>
      </c>
      <c r="B718" t="s">
        <v>188</v>
      </c>
      <c r="C718">
        <v>99</v>
      </c>
      <c r="D718">
        <v>7455.93</v>
      </c>
    </row>
    <row r="719" spans="1:4">
      <c r="A719" s="2">
        <v>45931</v>
      </c>
      <c r="B719" t="s">
        <v>188</v>
      </c>
      <c r="C719">
        <v>160</v>
      </c>
      <c r="D719">
        <v>12293.2</v>
      </c>
    </row>
    <row r="720" spans="1:4">
      <c r="A720" s="2">
        <v>45962</v>
      </c>
      <c r="B720" t="s">
        <v>188</v>
      </c>
      <c r="C720">
        <v>77</v>
      </c>
      <c r="D720">
        <v>7253.19</v>
      </c>
    </row>
    <row r="721" spans="1:4">
      <c r="A721" s="2">
        <v>45992</v>
      </c>
      <c r="B721" t="s">
        <v>188</v>
      </c>
      <c r="C721">
        <v>69</v>
      </c>
      <c r="D721">
        <v>6798.11</v>
      </c>
    </row>
    <row r="722" spans="1:4">
      <c r="A722" s="2">
        <v>45658</v>
      </c>
      <c r="B722" t="s">
        <v>190</v>
      </c>
      <c r="C722">
        <v>430</v>
      </c>
      <c r="D722">
        <v>25601.08</v>
      </c>
    </row>
    <row r="723" spans="1:4">
      <c r="A723" s="2">
        <v>45689</v>
      </c>
      <c r="B723" t="s">
        <v>190</v>
      </c>
      <c r="C723">
        <v>60</v>
      </c>
      <c r="D723">
        <v>2685.72</v>
      </c>
    </row>
    <row r="724" spans="1:4">
      <c r="A724" s="2">
        <v>45717</v>
      </c>
      <c r="B724" t="s">
        <v>190</v>
      </c>
      <c r="C724">
        <v>241</v>
      </c>
      <c r="D724">
        <v>12773.52</v>
      </c>
    </row>
    <row r="725" spans="1:4">
      <c r="A725" s="2">
        <v>45748</v>
      </c>
      <c r="B725" t="s">
        <v>190</v>
      </c>
      <c r="C725">
        <v>261</v>
      </c>
      <c r="D725">
        <v>12566.66</v>
      </c>
    </row>
    <row r="726" spans="1:4">
      <c r="A726" s="2">
        <v>45778</v>
      </c>
      <c r="B726" t="s">
        <v>190</v>
      </c>
      <c r="C726">
        <v>376</v>
      </c>
      <c r="D726">
        <v>18194.88</v>
      </c>
    </row>
    <row r="727" spans="1:4">
      <c r="A727" s="2">
        <v>45809</v>
      </c>
      <c r="B727" t="s">
        <v>190</v>
      </c>
      <c r="C727">
        <v>145</v>
      </c>
      <c r="D727">
        <v>8423.11</v>
      </c>
    </row>
    <row r="728" spans="1:4">
      <c r="A728" s="2">
        <v>45839</v>
      </c>
      <c r="B728" t="s">
        <v>190</v>
      </c>
      <c r="C728">
        <v>332</v>
      </c>
      <c r="D728">
        <v>15205.39</v>
      </c>
    </row>
    <row r="729" spans="1:4">
      <c r="A729" s="2">
        <v>45870</v>
      </c>
      <c r="B729" t="s">
        <v>190</v>
      </c>
      <c r="C729">
        <v>310</v>
      </c>
      <c r="D729">
        <v>16298.2</v>
      </c>
    </row>
    <row r="730" spans="1:4">
      <c r="A730" s="2">
        <v>45901</v>
      </c>
      <c r="B730" t="s">
        <v>190</v>
      </c>
      <c r="C730">
        <v>489</v>
      </c>
      <c r="D730">
        <v>21072.02</v>
      </c>
    </row>
    <row r="731" spans="1:4">
      <c r="A731" s="2">
        <v>45931</v>
      </c>
      <c r="B731" t="s">
        <v>190</v>
      </c>
      <c r="C731">
        <v>216</v>
      </c>
      <c r="D731">
        <v>8974.47</v>
      </c>
    </row>
    <row r="732" spans="1:4">
      <c r="A732" s="2">
        <v>45962</v>
      </c>
      <c r="B732" t="s">
        <v>190</v>
      </c>
      <c r="C732">
        <v>359</v>
      </c>
      <c r="D732">
        <v>18545.76</v>
      </c>
    </row>
    <row r="733" spans="1:4">
      <c r="A733" s="2">
        <v>45992</v>
      </c>
      <c r="B733" t="s">
        <v>190</v>
      </c>
      <c r="C733">
        <v>281</v>
      </c>
      <c r="D733">
        <v>11386.03</v>
      </c>
    </row>
    <row r="734" spans="1:4">
      <c r="A734" s="2">
        <v>45658</v>
      </c>
      <c r="B734" t="s">
        <v>192</v>
      </c>
      <c r="C734">
        <v>551</v>
      </c>
      <c r="D734">
        <v>55339.39</v>
      </c>
    </row>
    <row r="735" spans="1:4">
      <c r="A735" s="2">
        <v>45689</v>
      </c>
      <c r="B735" t="s">
        <v>192</v>
      </c>
      <c r="C735">
        <v>427</v>
      </c>
      <c r="D735">
        <v>39630.03</v>
      </c>
    </row>
    <row r="736" spans="1:4">
      <c r="A736" s="2">
        <v>45717</v>
      </c>
      <c r="B736" t="s">
        <v>192</v>
      </c>
      <c r="C736">
        <v>671</v>
      </c>
      <c r="D736">
        <v>57580.35</v>
      </c>
    </row>
    <row r="737" spans="1:4">
      <c r="A737" s="2">
        <v>45748</v>
      </c>
      <c r="B737" t="s">
        <v>192</v>
      </c>
      <c r="C737">
        <v>713</v>
      </c>
      <c r="D737">
        <v>50648.28</v>
      </c>
    </row>
    <row r="738" spans="1:4">
      <c r="A738" s="2">
        <v>45778</v>
      </c>
      <c r="B738" t="s">
        <v>192</v>
      </c>
      <c r="C738">
        <v>602</v>
      </c>
      <c r="D738">
        <v>59856.9</v>
      </c>
    </row>
    <row r="739" spans="1:4">
      <c r="A739" s="2">
        <v>45809</v>
      </c>
      <c r="B739" t="s">
        <v>192</v>
      </c>
      <c r="C739">
        <v>1062</v>
      </c>
      <c r="D739">
        <v>100236.36</v>
      </c>
    </row>
    <row r="740" spans="1:4">
      <c r="A740" s="2">
        <v>45839</v>
      </c>
      <c r="B740" t="s">
        <v>192</v>
      </c>
      <c r="C740">
        <v>480</v>
      </c>
      <c r="D740">
        <v>50550.19</v>
      </c>
    </row>
    <row r="741" spans="1:4">
      <c r="A741" s="2">
        <v>45870</v>
      </c>
      <c r="B741" t="s">
        <v>192</v>
      </c>
      <c r="C741">
        <v>684</v>
      </c>
      <c r="D741">
        <v>47675.28</v>
      </c>
    </row>
    <row r="742" spans="1:4">
      <c r="A742" s="2">
        <v>45901</v>
      </c>
      <c r="B742" t="s">
        <v>192</v>
      </c>
      <c r="C742">
        <v>813</v>
      </c>
      <c r="D742">
        <v>84180.55</v>
      </c>
    </row>
    <row r="743" spans="1:4">
      <c r="A743" s="2">
        <v>45931</v>
      </c>
      <c r="B743" t="s">
        <v>192</v>
      </c>
      <c r="C743">
        <v>639</v>
      </c>
      <c r="D743">
        <v>52130.13</v>
      </c>
    </row>
    <row r="744" spans="1:4">
      <c r="A744" s="2">
        <v>45962</v>
      </c>
      <c r="B744" t="s">
        <v>192</v>
      </c>
      <c r="C744">
        <v>729</v>
      </c>
      <c r="D744">
        <v>51507.58</v>
      </c>
    </row>
    <row r="745" spans="1:4">
      <c r="A745" s="2">
        <v>45992</v>
      </c>
      <c r="B745" t="s">
        <v>192</v>
      </c>
      <c r="C745">
        <v>839</v>
      </c>
      <c r="D745">
        <v>60089.59</v>
      </c>
    </row>
    <row r="746" spans="1:4">
      <c r="A746" s="2">
        <v>45658</v>
      </c>
      <c r="B746" t="s">
        <v>194</v>
      </c>
      <c r="C746">
        <v>808</v>
      </c>
      <c r="D746">
        <v>16645.11</v>
      </c>
    </row>
    <row r="747" spans="1:4">
      <c r="A747" s="2">
        <v>45689</v>
      </c>
      <c r="B747" t="s">
        <v>194</v>
      </c>
      <c r="C747">
        <v>893</v>
      </c>
      <c r="D747">
        <v>17643.23</v>
      </c>
    </row>
    <row r="748" spans="1:4">
      <c r="A748" s="2">
        <v>45717</v>
      </c>
      <c r="B748" t="s">
        <v>194</v>
      </c>
      <c r="C748">
        <v>491</v>
      </c>
      <c r="D748">
        <v>7895.54</v>
      </c>
    </row>
    <row r="749" spans="1:4">
      <c r="A749" s="2">
        <v>45748</v>
      </c>
      <c r="B749" t="s">
        <v>194</v>
      </c>
      <c r="C749">
        <v>118</v>
      </c>
      <c r="D749">
        <v>1951.73</v>
      </c>
    </row>
    <row r="750" spans="1:4">
      <c r="A750" s="2">
        <v>45778</v>
      </c>
      <c r="B750" t="s">
        <v>194</v>
      </c>
      <c r="C750">
        <v>811</v>
      </c>
      <c r="D750">
        <v>18215.69</v>
      </c>
    </row>
    <row r="751" spans="1:4">
      <c r="A751" s="2">
        <v>45809</v>
      </c>
      <c r="B751" t="s">
        <v>194</v>
      </c>
      <c r="C751">
        <v>610</v>
      </c>
      <c r="D751">
        <v>12363.37</v>
      </c>
    </row>
    <row r="752" spans="1:4">
      <c r="A752" s="2">
        <v>45839</v>
      </c>
      <c r="B752" t="s">
        <v>194</v>
      </c>
      <c r="C752">
        <v>643</v>
      </c>
      <c r="D752">
        <v>10096.94</v>
      </c>
    </row>
    <row r="753" spans="1:4">
      <c r="A753" s="2">
        <v>45870</v>
      </c>
      <c r="B753" t="s">
        <v>194</v>
      </c>
      <c r="C753">
        <v>613</v>
      </c>
      <c r="D753">
        <v>9474.6</v>
      </c>
    </row>
    <row r="754" spans="1:4">
      <c r="A754" s="2">
        <v>45901</v>
      </c>
      <c r="B754" t="s">
        <v>194</v>
      </c>
      <c r="C754">
        <v>697</v>
      </c>
      <c r="D754">
        <v>12308.46</v>
      </c>
    </row>
    <row r="755" spans="1:4">
      <c r="A755" s="2">
        <v>45931</v>
      </c>
      <c r="B755" t="s">
        <v>194</v>
      </c>
      <c r="C755">
        <v>735</v>
      </c>
      <c r="D755">
        <v>16038.82</v>
      </c>
    </row>
    <row r="756" spans="1:4">
      <c r="A756" s="2">
        <v>45962</v>
      </c>
      <c r="B756" t="s">
        <v>194</v>
      </c>
      <c r="C756">
        <v>851</v>
      </c>
      <c r="D756">
        <v>13779.9</v>
      </c>
    </row>
    <row r="757" spans="1:4">
      <c r="A757" s="2">
        <v>45992</v>
      </c>
      <c r="B757" t="s">
        <v>194</v>
      </c>
      <c r="C757">
        <v>790</v>
      </c>
      <c r="D757">
        <v>14445.41</v>
      </c>
    </row>
    <row r="758" spans="1:4">
      <c r="A758" s="2">
        <v>45658</v>
      </c>
      <c r="B758" t="s">
        <v>196</v>
      </c>
      <c r="C758">
        <v>64</v>
      </c>
      <c r="D758">
        <v>3838.87</v>
      </c>
    </row>
    <row r="759" spans="1:4">
      <c r="A759" s="2">
        <v>45689</v>
      </c>
      <c r="B759" t="s">
        <v>196</v>
      </c>
      <c r="C759">
        <v>153</v>
      </c>
      <c r="D759">
        <v>5976.05</v>
      </c>
    </row>
    <row r="760" spans="1:4">
      <c r="A760" s="2">
        <v>45717</v>
      </c>
      <c r="B760" t="s">
        <v>196</v>
      </c>
      <c r="C760">
        <v>196</v>
      </c>
      <c r="D760">
        <v>8603.86</v>
      </c>
    </row>
    <row r="761" spans="1:4">
      <c r="A761" s="2">
        <v>45748</v>
      </c>
      <c r="B761" t="s">
        <v>196</v>
      </c>
      <c r="C761">
        <v>106</v>
      </c>
      <c r="D761">
        <v>5584.51</v>
      </c>
    </row>
    <row r="762" spans="1:4">
      <c r="A762" s="2">
        <v>45778</v>
      </c>
      <c r="B762" t="s">
        <v>196</v>
      </c>
      <c r="C762">
        <v>139</v>
      </c>
      <c r="D762">
        <v>8385.68</v>
      </c>
    </row>
    <row r="763" spans="1:4">
      <c r="A763" s="2">
        <v>45809</v>
      </c>
      <c r="B763" t="s">
        <v>196</v>
      </c>
      <c r="C763">
        <v>135</v>
      </c>
      <c r="D763">
        <v>7218.6</v>
      </c>
    </row>
    <row r="764" spans="1:4">
      <c r="A764" s="2">
        <v>45839</v>
      </c>
      <c r="B764" t="s">
        <v>196</v>
      </c>
      <c r="C764">
        <v>52</v>
      </c>
      <c r="D764">
        <v>2154.76</v>
      </c>
    </row>
    <row r="765" spans="1:4">
      <c r="A765" s="2">
        <v>45870</v>
      </c>
      <c r="B765" t="s">
        <v>196</v>
      </c>
      <c r="C765">
        <v>109</v>
      </c>
      <c r="D765">
        <v>5062.23</v>
      </c>
    </row>
    <row r="766" spans="1:4">
      <c r="A766" s="2">
        <v>45901</v>
      </c>
      <c r="B766" t="s">
        <v>196</v>
      </c>
      <c r="C766">
        <v>69</v>
      </c>
      <c r="D766">
        <v>3717.27</v>
      </c>
    </row>
    <row r="767" spans="1:4">
      <c r="A767" s="2">
        <v>45931</v>
      </c>
      <c r="B767" t="s">
        <v>196</v>
      </c>
      <c r="C767">
        <v>116</v>
      </c>
      <c r="D767">
        <v>5851.44</v>
      </c>
    </row>
    <row r="768" spans="1:4">
      <c r="A768" s="2">
        <v>45962</v>
      </c>
      <c r="B768" t="s">
        <v>196</v>
      </c>
      <c r="C768">
        <v>108</v>
      </c>
      <c r="D768">
        <v>4402.16</v>
      </c>
    </row>
    <row r="769" spans="1:4">
      <c r="A769" s="2">
        <v>45992</v>
      </c>
      <c r="B769" t="s">
        <v>196</v>
      </c>
      <c r="C769">
        <v>130</v>
      </c>
      <c r="D769">
        <v>7513.46</v>
      </c>
    </row>
    <row r="770" spans="1:4">
      <c r="A770" s="2">
        <v>45658</v>
      </c>
      <c r="B770" t="s">
        <v>198</v>
      </c>
      <c r="C770">
        <v>546</v>
      </c>
      <c r="D770">
        <v>54466.54</v>
      </c>
    </row>
    <row r="771" spans="1:4">
      <c r="A771" s="2">
        <v>45689</v>
      </c>
      <c r="B771" t="s">
        <v>198</v>
      </c>
      <c r="C771">
        <v>209</v>
      </c>
      <c r="D771">
        <v>18598.26</v>
      </c>
    </row>
    <row r="772" spans="1:4">
      <c r="A772" s="2">
        <v>45717</v>
      </c>
      <c r="B772" t="s">
        <v>198</v>
      </c>
      <c r="C772">
        <v>462</v>
      </c>
      <c r="D772">
        <v>55310.41</v>
      </c>
    </row>
    <row r="773" spans="1:4">
      <c r="A773" s="2">
        <v>45748</v>
      </c>
      <c r="B773" t="s">
        <v>198</v>
      </c>
      <c r="C773">
        <v>529</v>
      </c>
      <c r="D773">
        <v>71910.86</v>
      </c>
    </row>
    <row r="774" spans="1:4">
      <c r="A774" s="2">
        <v>45778</v>
      </c>
      <c r="B774" t="s">
        <v>198</v>
      </c>
      <c r="C774">
        <v>851</v>
      </c>
      <c r="D774">
        <v>75871.71</v>
      </c>
    </row>
    <row r="775" spans="1:4">
      <c r="A775" s="2">
        <v>45809</v>
      </c>
      <c r="B775" t="s">
        <v>198</v>
      </c>
      <c r="C775">
        <v>509</v>
      </c>
      <c r="D775">
        <v>55035.82</v>
      </c>
    </row>
    <row r="776" spans="1:4">
      <c r="A776" s="2">
        <v>45839</v>
      </c>
      <c r="B776" t="s">
        <v>198</v>
      </c>
      <c r="C776">
        <v>1091</v>
      </c>
      <c r="D776">
        <v>118581.27</v>
      </c>
    </row>
    <row r="777" spans="1:4">
      <c r="A777" s="2">
        <v>45870</v>
      </c>
      <c r="B777" t="s">
        <v>198</v>
      </c>
      <c r="C777">
        <v>846</v>
      </c>
      <c r="D777">
        <v>103376.52</v>
      </c>
    </row>
    <row r="778" spans="1:4">
      <c r="A778" s="2">
        <v>45901</v>
      </c>
      <c r="B778" t="s">
        <v>198</v>
      </c>
      <c r="C778">
        <v>431</v>
      </c>
      <c r="D778">
        <v>42980.98</v>
      </c>
    </row>
    <row r="779" spans="1:4">
      <c r="A779" s="2">
        <v>45931</v>
      </c>
      <c r="B779" t="s">
        <v>198</v>
      </c>
      <c r="C779">
        <v>539</v>
      </c>
      <c r="D779">
        <v>65959.8</v>
      </c>
    </row>
    <row r="780" spans="1:4">
      <c r="A780" s="2">
        <v>45962</v>
      </c>
      <c r="B780" t="s">
        <v>198</v>
      </c>
      <c r="C780">
        <v>853</v>
      </c>
      <c r="D780">
        <v>78020.46</v>
      </c>
    </row>
    <row r="781" spans="1:4">
      <c r="A781" s="2">
        <v>45992</v>
      </c>
      <c r="B781" t="s">
        <v>198</v>
      </c>
      <c r="C781">
        <v>536</v>
      </c>
      <c r="D781">
        <v>61994.06</v>
      </c>
    </row>
    <row r="782" spans="1:4">
      <c r="A782" s="2">
        <v>45658</v>
      </c>
      <c r="B782" t="s">
        <v>200</v>
      </c>
      <c r="C782">
        <v>431</v>
      </c>
      <c r="D782">
        <v>19858.73</v>
      </c>
    </row>
    <row r="783" spans="1:4">
      <c r="A783" s="2">
        <v>45689</v>
      </c>
      <c r="B783" t="s">
        <v>200</v>
      </c>
      <c r="C783">
        <v>473</v>
      </c>
      <c r="D783">
        <v>19231.28</v>
      </c>
    </row>
    <row r="784" spans="1:4">
      <c r="A784" s="2">
        <v>45717</v>
      </c>
      <c r="B784" t="s">
        <v>200</v>
      </c>
      <c r="C784">
        <v>592</v>
      </c>
      <c r="D784">
        <v>27787.25</v>
      </c>
    </row>
    <row r="785" spans="1:4">
      <c r="A785" s="2">
        <v>45748</v>
      </c>
      <c r="B785" t="s">
        <v>200</v>
      </c>
      <c r="C785">
        <v>428</v>
      </c>
      <c r="D785">
        <v>14281.34</v>
      </c>
    </row>
    <row r="786" spans="1:4">
      <c r="A786" s="2">
        <v>45778</v>
      </c>
      <c r="B786" t="s">
        <v>200</v>
      </c>
      <c r="C786">
        <v>732</v>
      </c>
      <c r="D786">
        <v>35295.24</v>
      </c>
    </row>
    <row r="787" spans="1:4">
      <c r="A787" s="2">
        <v>45809</v>
      </c>
      <c r="B787" t="s">
        <v>200</v>
      </c>
      <c r="C787">
        <v>1122</v>
      </c>
      <c r="D787">
        <v>43884.01</v>
      </c>
    </row>
    <row r="788" spans="1:4">
      <c r="A788" s="2">
        <v>45839</v>
      </c>
      <c r="B788" t="s">
        <v>200</v>
      </c>
      <c r="C788">
        <v>642</v>
      </c>
      <c r="D788">
        <v>30411.21</v>
      </c>
    </row>
    <row r="789" spans="1:4">
      <c r="A789" s="2">
        <v>45870</v>
      </c>
      <c r="B789" t="s">
        <v>200</v>
      </c>
      <c r="C789">
        <v>709</v>
      </c>
      <c r="D789">
        <v>31627.08</v>
      </c>
    </row>
    <row r="790" spans="1:4">
      <c r="A790" s="2">
        <v>45901</v>
      </c>
      <c r="B790" t="s">
        <v>200</v>
      </c>
      <c r="C790">
        <v>553</v>
      </c>
      <c r="D790">
        <v>24800.92</v>
      </c>
    </row>
    <row r="791" spans="1:4">
      <c r="A791" s="2">
        <v>45931</v>
      </c>
      <c r="B791" t="s">
        <v>200</v>
      </c>
      <c r="C791">
        <v>1123</v>
      </c>
      <c r="D791">
        <v>39424.64</v>
      </c>
    </row>
    <row r="792" spans="1:4">
      <c r="A792" s="2">
        <v>45962</v>
      </c>
      <c r="B792" t="s">
        <v>200</v>
      </c>
      <c r="C792">
        <v>480</v>
      </c>
      <c r="D792">
        <v>25034.05</v>
      </c>
    </row>
    <row r="793" spans="1:4">
      <c r="A793" s="2">
        <v>45992</v>
      </c>
      <c r="B793" t="s">
        <v>200</v>
      </c>
      <c r="C793">
        <v>638</v>
      </c>
      <c r="D793">
        <v>33268.51</v>
      </c>
    </row>
    <row r="794" spans="1:4">
      <c r="A794" s="2">
        <v>45658</v>
      </c>
      <c r="B794" t="s">
        <v>202</v>
      </c>
      <c r="C794">
        <v>279</v>
      </c>
      <c r="D794">
        <v>23475.39</v>
      </c>
    </row>
    <row r="795" spans="1:4">
      <c r="A795" s="2">
        <v>45689</v>
      </c>
      <c r="B795" t="s">
        <v>202</v>
      </c>
      <c r="C795">
        <v>191</v>
      </c>
      <c r="D795">
        <v>22853.27</v>
      </c>
    </row>
    <row r="796" spans="1:4">
      <c r="A796" s="2">
        <v>45717</v>
      </c>
      <c r="B796" t="s">
        <v>202</v>
      </c>
      <c r="C796">
        <v>258</v>
      </c>
      <c r="D796">
        <v>21267.32</v>
      </c>
    </row>
    <row r="797" spans="1:4">
      <c r="A797" s="2">
        <v>45748</v>
      </c>
      <c r="B797" t="s">
        <v>202</v>
      </c>
      <c r="C797">
        <v>324</v>
      </c>
      <c r="D797">
        <v>27842.01</v>
      </c>
    </row>
    <row r="798" spans="1:4">
      <c r="A798" s="2">
        <v>45778</v>
      </c>
      <c r="B798" t="s">
        <v>202</v>
      </c>
      <c r="C798">
        <v>200</v>
      </c>
      <c r="D798">
        <v>17407.28</v>
      </c>
    </row>
    <row r="799" spans="1:4">
      <c r="A799" s="2">
        <v>45809</v>
      </c>
      <c r="B799" t="s">
        <v>202</v>
      </c>
      <c r="C799">
        <v>133</v>
      </c>
      <c r="D799">
        <v>11421.14</v>
      </c>
    </row>
    <row r="800" spans="1:4">
      <c r="A800" s="2">
        <v>45839</v>
      </c>
      <c r="B800" t="s">
        <v>202</v>
      </c>
      <c r="C800">
        <v>319</v>
      </c>
      <c r="D800">
        <v>27927.58</v>
      </c>
    </row>
    <row r="801" spans="1:4">
      <c r="A801" s="2">
        <v>45870</v>
      </c>
      <c r="B801" t="s">
        <v>202</v>
      </c>
      <c r="C801">
        <v>292</v>
      </c>
      <c r="D801">
        <v>33257</v>
      </c>
    </row>
    <row r="802" spans="1:4">
      <c r="A802" s="2">
        <v>45901</v>
      </c>
      <c r="B802" t="s">
        <v>202</v>
      </c>
      <c r="C802">
        <v>246</v>
      </c>
      <c r="D802">
        <v>21877.84</v>
      </c>
    </row>
    <row r="803" spans="1:4">
      <c r="A803" s="2">
        <v>45931</v>
      </c>
      <c r="B803" t="s">
        <v>202</v>
      </c>
      <c r="C803">
        <v>199</v>
      </c>
      <c r="D803">
        <v>23995.35</v>
      </c>
    </row>
    <row r="804" spans="1:4">
      <c r="A804" s="2">
        <v>45962</v>
      </c>
      <c r="B804" t="s">
        <v>202</v>
      </c>
      <c r="C804">
        <v>62</v>
      </c>
      <c r="D804">
        <v>5196.82</v>
      </c>
    </row>
    <row r="805" spans="1:4">
      <c r="A805" s="2">
        <v>45992</v>
      </c>
      <c r="B805" t="s">
        <v>202</v>
      </c>
      <c r="C805">
        <v>360</v>
      </c>
      <c r="D805">
        <v>43162.79</v>
      </c>
    </row>
    <row r="806" spans="1:4">
      <c r="A806" s="2">
        <v>45658</v>
      </c>
      <c r="B806" t="s">
        <v>204</v>
      </c>
      <c r="C806">
        <v>388</v>
      </c>
      <c r="D806">
        <v>2937.87</v>
      </c>
    </row>
    <row r="807" spans="1:4">
      <c r="A807" s="2">
        <v>45689</v>
      </c>
      <c r="B807" t="s">
        <v>204</v>
      </c>
      <c r="C807">
        <v>409</v>
      </c>
      <c r="D807">
        <v>2867.9</v>
      </c>
    </row>
    <row r="808" spans="1:4">
      <c r="A808" s="2">
        <v>45717</v>
      </c>
      <c r="B808" t="s">
        <v>204</v>
      </c>
      <c r="C808">
        <v>410</v>
      </c>
      <c r="D808">
        <v>3868.39</v>
      </c>
    </row>
    <row r="809" spans="1:4">
      <c r="A809" s="2">
        <v>45748</v>
      </c>
      <c r="B809" t="s">
        <v>204</v>
      </c>
      <c r="C809">
        <v>727</v>
      </c>
      <c r="D809">
        <v>5249.92</v>
      </c>
    </row>
    <row r="810" spans="1:4">
      <c r="A810" s="2">
        <v>45778</v>
      </c>
      <c r="B810" t="s">
        <v>204</v>
      </c>
      <c r="C810">
        <v>849</v>
      </c>
      <c r="D810">
        <v>6123.54</v>
      </c>
    </row>
    <row r="811" spans="1:4">
      <c r="A811" s="2">
        <v>45809</v>
      </c>
      <c r="B811" t="s">
        <v>204</v>
      </c>
      <c r="C811">
        <v>416</v>
      </c>
      <c r="D811">
        <v>4240.32</v>
      </c>
    </row>
    <row r="812" spans="1:4">
      <c r="A812" s="2">
        <v>45839</v>
      </c>
      <c r="B812" t="s">
        <v>204</v>
      </c>
      <c r="C812">
        <v>368</v>
      </c>
      <c r="D812">
        <v>2792.11</v>
      </c>
    </row>
    <row r="813" spans="1:4">
      <c r="A813" s="2">
        <v>45870</v>
      </c>
      <c r="B813" t="s">
        <v>204</v>
      </c>
      <c r="C813">
        <v>521</v>
      </c>
      <c r="D813">
        <v>4509.31</v>
      </c>
    </row>
    <row r="814" spans="1:4">
      <c r="A814" s="2">
        <v>45901</v>
      </c>
      <c r="B814" t="s">
        <v>204</v>
      </c>
      <c r="C814">
        <v>450</v>
      </c>
      <c r="D814">
        <v>3959.33</v>
      </c>
    </row>
    <row r="815" spans="1:4">
      <c r="A815" s="2">
        <v>45931</v>
      </c>
      <c r="B815" t="s">
        <v>204</v>
      </c>
      <c r="C815">
        <v>356</v>
      </c>
      <c r="D815">
        <v>2923.82</v>
      </c>
    </row>
    <row r="816" spans="1:4">
      <c r="A816" s="2">
        <v>45962</v>
      </c>
      <c r="B816" t="s">
        <v>204</v>
      </c>
      <c r="C816">
        <v>778</v>
      </c>
      <c r="D816">
        <v>8402.18</v>
      </c>
    </row>
    <row r="817" spans="1:4">
      <c r="A817" s="2">
        <v>45992</v>
      </c>
      <c r="B817" t="s">
        <v>204</v>
      </c>
      <c r="C817">
        <v>679</v>
      </c>
      <c r="D817">
        <v>5478.28</v>
      </c>
    </row>
    <row r="818" spans="1:4">
      <c r="A818" s="2">
        <v>45658</v>
      </c>
      <c r="B818" t="s">
        <v>206</v>
      </c>
      <c r="C818">
        <v>81</v>
      </c>
      <c r="D818">
        <v>6988.56</v>
      </c>
    </row>
    <row r="819" spans="1:4">
      <c r="A819" s="2">
        <v>45689</v>
      </c>
      <c r="B819" t="s">
        <v>206</v>
      </c>
      <c r="C819">
        <v>162</v>
      </c>
      <c r="D819">
        <v>16108.94</v>
      </c>
    </row>
    <row r="820" spans="1:4">
      <c r="A820" s="2">
        <v>45717</v>
      </c>
      <c r="B820" t="s">
        <v>206</v>
      </c>
      <c r="C820">
        <v>158</v>
      </c>
      <c r="D820">
        <v>14102.57</v>
      </c>
    </row>
    <row r="821" spans="1:4">
      <c r="A821" s="2">
        <v>45748</v>
      </c>
      <c r="B821" t="s">
        <v>206</v>
      </c>
      <c r="C821">
        <v>184</v>
      </c>
      <c r="D821">
        <v>17356.01</v>
      </c>
    </row>
    <row r="822" spans="1:4">
      <c r="A822" s="2">
        <v>45778</v>
      </c>
      <c r="B822" t="s">
        <v>206</v>
      </c>
      <c r="C822">
        <v>85</v>
      </c>
      <c r="D822">
        <v>5658.82</v>
      </c>
    </row>
    <row r="823" spans="1:4">
      <c r="A823" s="2">
        <v>45809</v>
      </c>
      <c r="B823" t="s">
        <v>206</v>
      </c>
      <c r="C823">
        <v>204</v>
      </c>
      <c r="D823">
        <v>17458.67</v>
      </c>
    </row>
    <row r="824" spans="1:4">
      <c r="A824" s="2">
        <v>45839</v>
      </c>
      <c r="B824" t="s">
        <v>206</v>
      </c>
      <c r="C824">
        <v>135</v>
      </c>
      <c r="D824">
        <v>10598.65</v>
      </c>
    </row>
    <row r="825" spans="1:4">
      <c r="A825" s="2">
        <v>45870</v>
      </c>
      <c r="B825" t="s">
        <v>206</v>
      </c>
      <c r="C825">
        <v>177</v>
      </c>
      <c r="D825">
        <v>14184.46</v>
      </c>
    </row>
    <row r="826" spans="1:4">
      <c r="A826" s="2">
        <v>45901</v>
      </c>
      <c r="B826" t="s">
        <v>206</v>
      </c>
      <c r="C826">
        <v>95</v>
      </c>
      <c r="D826">
        <v>8972.72</v>
      </c>
    </row>
    <row r="827" spans="1:4">
      <c r="A827" s="2">
        <v>45931</v>
      </c>
      <c r="B827" t="s">
        <v>206</v>
      </c>
      <c r="C827">
        <v>121</v>
      </c>
      <c r="D827">
        <v>8756.45</v>
      </c>
    </row>
    <row r="828" spans="1:4">
      <c r="A828" s="2">
        <v>45962</v>
      </c>
      <c r="B828" t="s">
        <v>206</v>
      </c>
      <c r="C828">
        <v>112</v>
      </c>
      <c r="D828">
        <v>11644.75</v>
      </c>
    </row>
    <row r="829" spans="1:4">
      <c r="A829" s="2">
        <v>45992</v>
      </c>
      <c r="B829" t="s">
        <v>206</v>
      </c>
      <c r="C829">
        <v>60</v>
      </c>
      <c r="D829">
        <v>4002.82</v>
      </c>
    </row>
    <row r="830" spans="1:4">
      <c r="A830" s="2">
        <v>45658</v>
      </c>
      <c r="B830" t="s">
        <v>208</v>
      </c>
      <c r="C830">
        <v>295</v>
      </c>
      <c r="D830">
        <v>10478.09</v>
      </c>
    </row>
    <row r="831" spans="1:4">
      <c r="A831" s="2">
        <v>45689</v>
      </c>
      <c r="B831" t="s">
        <v>208</v>
      </c>
      <c r="C831">
        <v>338</v>
      </c>
      <c r="D831">
        <v>14362.32</v>
      </c>
    </row>
    <row r="832" spans="1:4">
      <c r="A832" s="2">
        <v>45717</v>
      </c>
      <c r="B832" t="s">
        <v>208</v>
      </c>
      <c r="C832">
        <v>428</v>
      </c>
      <c r="D832">
        <v>17721.18</v>
      </c>
    </row>
    <row r="833" spans="1:4">
      <c r="A833" s="2">
        <v>45748</v>
      </c>
      <c r="B833" t="s">
        <v>208</v>
      </c>
      <c r="C833">
        <v>556</v>
      </c>
      <c r="D833">
        <v>22922.58</v>
      </c>
    </row>
    <row r="834" spans="1:4">
      <c r="A834" s="2">
        <v>45778</v>
      </c>
      <c r="B834" t="s">
        <v>208</v>
      </c>
      <c r="C834">
        <v>629</v>
      </c>
      <c r="D834">
        <v>23215.92</v>
      </c>
    </row>
    <row r="835" spans="1:4">
      <c r="A835" s="2">
        <v>45809</v>
      </c>
      <c r="B835" t="s">
        <v>208</v>
      </c>
      <c r="C835">
        <v>592</v>
      </c>
      <c r="D835">
        <v>21025.81</v>
      </c>
    </row>
    <row r="836" spans="1:4">
      <c r="A836" s="2">
        <v>45839</v>
      </c>
      <c r="B836" t="s">
        <v>208</v>
      </c>
      <c r="C836">
        <v>605</v>
      </c>
      <c r="D836">
        <v>30477.71</v>
      </c>
    </row>
    <row r="837" spans="1:4">
      <c r="A837" s="2">
        <v>45870</v>
      </c>
      <c r="B837" t="s">
        <v>208</v>
      </c>
      <c r="C837">
        <v>675</v>
      </c>
      <c r="D837">
        <v>24955.67</v>
      </c>
    </row>
    <row r="838" spans="1:4">
      <c r="A838" s="2">
        <v>45901</v>
      </c>
      <c r="B838" t="s">
        <v>208</v>
      </c>
      <c r="C838">
        <v>463</v>
      </c>
      <c r="D838">
        <v>19488.45</v>
      </c>
    </row>
    <row r="839" spans="1:4">
      <c r="A839" s="2">
        <v>45931</v>
      </c>
      <c r="B839" t="s">
        <v>208</v>
      </c>
      <c r="C839">
        <v>611</v>
      </c>
      <c r="D839">
        <v>20142.3</v>
      </c>
    </row>
    <row r="840" spans="1:4">
      <c r="A840" s="2">
        <v>45962</v>
      </c>
      <c r="B840" t="s">
        <v>208</v>
      </c>
      <c r="C840">
        <v>377</v>
      </c>
      <c r="D840">
        <v>14055.91</v>
      </c>
    </row>
    <row r="841" spans="1:4">
      <c r="A841" s="2">
        <v>45992</v>
      </c>
      <c r="B841" t="s">
        <v>208</v>
      </c>
      <c r="C841">
        <v>453</v>
      </c>
      <c r="D841">
        <v>18867.05</v>
      </c>
    </row>
    <row r="842" spans="1:4">
      <c r="A842" s="2">
        <v>45658</v>
      </c>
      <c r="B842" t="s">
        <v>210</v>
      </c>
      <c r="C842">
        <v>518</v>
      </c>
      <c r="D842">
        <v>63687.35</v>
      </c>
    </row>
    <row r="843" spans="1:4">
      <c r="A843" s="2">
        <v>45689</v>
      </c>
      <c r="B843" t="s">
        <v>210</v>
      </c>
      <c r="C843">
        <v>605</v>
      </c>
      <c r="D843">
        <v>90405.38</v>
      </c>
    </row>
    <row r="844" spans="1:4">
      <c r="A844" s="2">
        <v>45717</v>
      </c>
      <c r="B844" t="s">
        <v>210</v>
      </c>
      <c r="C844">
        <v>515</v>
      </c>
      <c r="D844">
        <v>72556.86</v>
      </c>
    </row>
    <row r="845" spans="1:4">
      <c r="A845" s="2">
        <v>45748</v>
      </c>
      <c r="B845" t="s">
        <v>210</v>
      </c>
      <c r="C845">
        <v>376</v>
      </c>
      <c r="D845">
        <v>57774.47</v>
      </c>
    </row>
    <row r="846" spans="1:4">
      <c r="A846" s="2">
        <v>45778</v>
      </c>
      <c r="B846" t="s">
        <v>210</v>
      </c>
      <c r="C846">
        <v>431</v>
      </c>
      <c r="D846">
        <v>53473.31</v>
      </c>
    </row>
    <row r="847" spans="1:4">
      <c r="A847" s="2">
        <v>45809</v>
      </c>
      <c r="B847" t="s">
        <v>210</v>
      </c>
      <c r="C847">
        <v>482</v>
      </c>
      <c r="D847">
        <v>73959.33</v>
      </c>
    </row>
    <row r="848" spans="1:4">
      <c r="A848" s="2">
        <v>45839</v>
      </c>
      <c r="B848" t="s">
        <v>210</v>
      </c>
      <c r="C848">
        <v>204</v>
      </c>
      <c r="D848">
        <v>24873.76</v>
      </c>
    </row>
    <row r="849" spans="1:4">
      <c r="A849" s="2">
        <v>45870</v>
      </c>
      <c r="B849" t="s">
        <v>210</v>
      </c>
      <c r="C849">
        <v>768</v>
      </c>
      <c r="D849">
        <v>95469.2</v>
      </c>
    </row>
    <row r="850" spans="1:4">
      <c r="A850" s="2">
        <v>45901</v>
      </c>
      <c r="B850" t="s">
        <v>210</v>
      </c>
      <c r="C850">
        <v>574</v>
      </c>
      <c r="D850">
        <v>64756.03</v>
      </c>
    </row>
    <row r="851" spans="1:4">
      <c r="A851" s="2">
        <v>45931</v>
      </c>
      <c r="B851" t="s">
        <v>210</v>
      </c>
      <c r="C851">
        <v>609</v>
      </c>
      <c r="D851">
        <v>70921.81</v>
      </c>
    </row>
    <row r="852" spans="1:4">
      <c r="A852" s="2">
        <v>45962</v>
      </c>
      <c r="B852" t="s">
        <v>210</v>
      </c>
      <c r="C852">
        <v>679</v>
      </c>
      <c r="D852">
        <v>104008.76</v>
      </c>
    </row>
    <row r="853" spans="1:4">
      <c r="A853" s="2">
        <v>45992</v>
      </c>
      <c r="B853" t="s">
        <v>210</v>
      </c>
      <c r="C853">
        <v>678</v>
      </c>
      <c r="D853">
        <v>104050.62</v>
      </c>
    </row>
    <row r="854" spans="1:4">
      <c r="A854" s="2">
        <v>45658</v>
      </c>
      <c r="B854" t="s">
        <v>212</v>
      </c>
      <c r="C854">
        <v>355</v>
      </c>
      <c r="D854">
        <v>27235.79</v>
      </c>
    </row>
    <row r="855" spans="1:4">
      <c r="A855" s="2">
        <v>45689</v>
      </c>
      <c r="B855" t="s">
        <v>212</v>
      </c>
      <c r="C855">
        <v>545</v>
      </c>
      <c r="D855">
        <v>34262.36</v>
      </c>
    </row>
    <row r="856" spans="1:4">
      <c r="A856" s="2">
        <v>45717</v>
      </c>
      <c r="B856" t="s">
        <v>212</v>
      </c>
      <c r="C856">
        <v>549</v>
      </c>
      <c r="D856">
        <v>43324.34</v>
      </c>
    </row>
    <row r="857" spans="1:4">
      <c r="A857" s="2">
        <v>45748</v>
      </c>
      <c r="B857" t="s">
        <v>212</v>
      </c>
      <c r="C857">
        <v>458</v>
      </c>
      <c r="D857">
        <v>28314.23</v>
      </c>
    </row>
    <row r="858" spans="1:4">
      <c r="A858" s="2">
        <v>45778</v>
      </c>
      <c r="B858" t="s">
        <v>212</v>
      </c>
      <c r="C858">
        <v>313</v>
      </c>
      <c r="D858">
        <v>22038.69</v>
      </c>
    </row>
    <row r="859" spans="1:4">
      <c r="A859" s="2">
        <v>45809</v>
      </c>
      <c r="B859" t="s">
        <v>212</v>
      </c>
      <c r="C859">
        <v>509</v>
      </c>
      <c r="D859">
        <v>37472.91</v>
      </c>
    </row>
    <row r="860" spans="1:4">
      <c r="A860" s="2">
        <v>45839</v>
      </c>
      <c r="B860" t="s">
        <v>212</v>
      </c>
      <c r="C860">
        <v>148</v>
      </c>
      <c r="D860">
        <v>13112.6</v>
      </c>
    </row>
    <row r="861" spans="1:4">
      <c r="A861" s="2">
        <v>45870</v>
      </c>
      <c r="B861" t="s">
        <v>212</v>
      </c>
      <c r="C861">
        <v>752</v>
      </c>
      <c r="D861">
        <v>65797.2</v>
      </c>
    </row>
    <row r="862" spans="1:4">
      <c r="A862" s="2">
        <v>45901</v>
      </c>
      <c r="B862" t="s">
        <v>212</v>
      </c>
      <c r="C862">
        <v>423</v>
      </c>
      <c r="D862">
        <v>29169.5</v>
      </c>
    </row>
    <row r="863" spans="1:4">
      <c r="A863" s="2">
        <v>45931</v>
      </c>
      <c r="B863" t="s">
        <v>212</v>
      </c>
      <c r="C863">
        <v>432</v>
      </c>
      <c r="D863">
        <v>30184.06</v>
      </c>
    </row>
    <row r="864" spans="1:4">
      <c r="A864" s="2">
        <v>45962</v>
      </c>
      <c r="B864" t="s">
        <v>212</v>
      </c>
      <c r="C864">
        <v>498</v>
      </c>
      <c r="D864">
        <v>42708.01</v>
      </c>
    </row>
    <row r="865" spans="1:4">
      <c r="A865" s="2">
        <v>45992</v>
      </c>
      <c r="B865" t="s">
        <v>212</v>
      </c>
      <c r="C865">
        <v>642</v>
      </c>
      <c r="D865">
        <v>38730.6</v>
      </c>
    </row>
    <row r="866" spans="1:4">
      <c r="A866" s="2">
        <v>45658</v>
      </c>
      <c r="B866" t="s">
        <v>214</v>
      </c>
      <c r="C866">
        <v>267</v>
      </c>
      <c r="D866">
        <v>18196.31</v>
      </c>
    </row>
    <row r="867" spans="1:4">
      <c r="A867" s="2">
        <v>45689</v>
      </c>
      <c r="B867" t="s">
        <v>214</v>
      </c>
      <c r="C867">
        <v>977</v>
      </c>
      <c r="D867">
        <v>79584.67</v>
      </c>
    </row>
    <row r="868" spans="1:4">
      <c r="A868" s="2">
        <v>45717</v>
      </c>
      <c r="B868" t="s">
        <v>214</v>
      </c>
      <c r="C868">
        <v>243</v>
      </c>
      <c r="D868">
        <v>21572.89</v>
      </c>
    </row>
    <row r="869" spans="1:4">
      <c r="A869" s="2">
        <v>45748</v>
      </c>
      <c r="B869" t="s">
        <v>214</v>
      </c>
      <c r="C869">
        <v>1058</v>
      </c>
      <c r="D869">
        <v>96931.06</v>
      </c>
    </row>
    <row r="870" spans="1:4">
      <c r="A870" s="2">
        <v>45778</v>
      </c>
      <c r="B870" t="s">
        <v>214</v>
      </c>
      <c r="C870">
        <v>665</v>
      </c>
      <c r="D870">
        <v>54999.52</v>
      </c>
    </row>
    <row r="871" spans="1:4">
      <c r="A871" s="2">
        <v>45809</v>
      </c>
      <c r="B871" t="s">
        <v>214</v>
      </c>
      <c r="C871">
        <v>395</v>
      </c>
      <c r="D871">
        <v>34059.33</v>
      </c>
    </row>
    <row r="872" spans="1:4">
      <c r="A872" s="2">
        <v>45839</v>
      </c>
      <c r="B872" t="s">
        <v>214</v>
      </c>
      <c r="C872">
        <v>581</v>
      </c>
      <c r="D872">
        <v>51796.66</v>
      </c>
    </row>
    <row r="873" spans="1:4">
      <c r="A873" s="2">
        <v>45870</v>
      </c>
      <c r="B873" t="s">
        <v>214</v>
      </c>
      <c r="C873">
        <v>192</v>
      </c>
      <c r="D873">
        <v>18138.2</v>
      </c>
    </row>
    <row r="874" spans="1:4">
      <c r="A874" s="2">
        <v>45901</v>
      </c>
      <c r="B874" t="s">
        <v>214</v>
      </c>
      <c r="C874">
        <v>571</v>
      </c>
      <c r="D874">
        <v>39329.48</v>
      </c>
    </row>
    <row r="875" spans="1:4">
      <c r="A875" s="2">
        <v>45931</v>
      </c>
      <c r="B875" t="s">
        <v>214</v>
      </c>
      <c r="C875">
        <v>620</v>
      </c>
      <c r="D875">
        <v>50993.86</v>
      </c>
    </row>
    <row r="876" spans="1:4">
      <c r="A876" s="2">
        <v>45962</v>
      </c>
      <c r="B876" t="s">
        <v>214</v>
      </c>
      <c r="C876">
        <v>748</v>
      </c>
      <c r="D876">
        <v>56899.35</v>
      </c>
    </row>
    <row r="877" spans="1:4">
      <c r="A877" s="2">
        <v>45992</v>
      </c>
      <c r="B877" t="s">
        <v>214</v>
      </c>
      <c r="C877">
        <v>697</v>
      </c>
      <c r="D877">
        <v>54746.57</v>
      </c>
    </row>
    <row r="878" spans="1:4">
      <c r="A878" s="2">
        <v>45658</v>
      </c>
      <c r="B878" t="s">
        <v>216</v>
      </c>
      <c r="C878">
        <v>141</v>
      </c>
      <c r="D878">
        <v>23730.36</v>
      </c>
    </row>
    <row r="879" spans="1:4">
      <c r="A879" s="2">
        <v>45689</v>
      </c>
      <c r="B879" t="s">
        <v>216</v>
      </c>
      <c r="C879">
        <v>200</v>
      </c>
      <c r="D879">
        <v>30282.83</v>
      </c>
    </row>
    <row r="880" spans="1:4">
      <c r="A880" s="2">
        <v>45717</v>
      </c>
      <c r="B880" t="s">
        <v>216</v>
      </c>
      <c r="C880">
        <v>184</v>
      </c>
      <c r="D880">
        <v>22662.93</v>
      </c>
    </row>
    <row r="881" spans="1:4">
      <c r="A881" s="2">
        <v>45748</v>
      </c>
      <c r="B881" t="s">
        <v>216</v>
      </c>
      <c r="C881">
        <v>105</v>
      </c>
      <c r="D881">
        <v>13551.12</v>
      </c>
    </row>
    <row r="882" spans="1:4">
      <c r="A882" s="2">
        <v>45778</v>
      </c>
      <c r="B882" t="s">
        <v>216</v>
      </c>
      <c r="C882">
        <v>162</v>
      </c>
      <c r="D882">
        <v>24343.01</v>
      </c>
    </row>
    <row r="883" spans="1:4">
      <c r="A883" s="2">
        <v>45809</v>
      </c>
      <c r="B883" t="s">
        <v>216</v>
      </c>
      <c r="C883">
        <v>231</v>
      </c>
      <c r="D883">
        <v>34644.11</v>
      </c>
    </row>
    <row r="884" spans="1:4">
      <c r="A884" s="2">
        <v>45839</v>
      </c>
      <c r="B884" t="s">
        <v>216</v>
      </c>
      <c r="C884">
        <v>208</v>
      </c>
      <c r="D884">
        <v>37863.85</v>
      </c>
    </row>
    <row r="885" spans="1:4">
      <c r="A885" s="2">
        <v>45870</v>
      </c>
      <c r="B885" t="s">
        <v>216</v>
      </c>
      <c r="C885">
        <v>115</v>
      </c>
      <c r="D885">
        <v>14986.58</v>
      </c>
    </row>
    <row r="886" spans="1:4">
      <c r="A886" s="2">
        <v>45901</v>
      </c>
      <c r="B886" t="s">
        <v>216</v>
      </c>
      <c r="C886">
        <v>191</v>
      </c>
      <c r="D886">
        <v>30566.95</v>
      </c>
    </row>
    <row r="887" spans="1:4">
      <c r="A887" s="2">
        <v>45931</v>
      </c>
      <c r="B887" t="s">
        <v>216</v>
      </c>
      <c r="C887">
        <v>118</v>
      </c>
      <c r="D887">
        <v>17507.95</v>
      </c>
    </row>
    <row r="888" spans="1:4">
      <c r="A888" s="2">
        <v>45962</v>
      </c>
      <c r="B888" t="s">
        <v>216</v>
      </c>
      <c r="C888">
        <v>174</v>
      </c>
      <c r="D888">
        <v>20263.23</v>
      </c>
    </row>
    <row r="889" spans="1:4">
      <c r="A889" s="2">
        <v>45992</v>
      </c>
      <c r="B889" t="s">
        <v>216</v>
      </c>
      <c r="C889">
        <v>171</v>
      </c>
      <c r="D889">
        <v>27146.8</v>
      </c>
    </row>
    <row r="890" spans="1:4">
      <c r="A890" s="2">
        <v>45658</v>
      </c>
      <c r="B890" t="s">
        <v>218</v>
      </c>
      <c r="C890">
        <v>507</v>
      </c>
      <c r="D890">
        <v>40105.33</v>
      </c>
    </row>
    <row r="891" spans="1:4">
      <c r="A891" s="2">
        <v>45689</v>
      </c>
      <c r="B891" t="s">
        <v>218</v>
      </c>
      <c r="C891">
        <v>490</v>
      </c>
      <c r="D891">
        <v>38540.86</v>
      </c>
    </row>
    <row r="892" spans="1:4">
      <c r="A892" s="2">
        <v>45717</v>
      </c>
      <c r="B892" t="s">
        <v>218</v>
      </c>
      <c r="C892">
        <v>298</v>
      </c>
      <c r="D892">
        <v>18470.63</v>
      </c>
    </row>
    <row r="893" spans="1:4">
      <c r="A893" s="2">
        <v>45748</v>
      </c>
      <c r="B893" t="s">
        <v>218</v>
      </c>
      <c r="C893">
        <v>404</v>
      </c>
      <c r="D893">
        <v>28861.41</v>
      </c>
    </row>
    <row r="894" spans="1:4">
      <c r="A894" s="2">
        <v>45778</v>
      </c>
      <c r="B894" t="s">
        <v>218</v>
      </c>
      <c r="C894">
        <v>321</v>
      </c>
      <c r="D894">
        <v>23144.42</v>
      </c>
    </row>
    <row r="895" spans="1:4">
      <c r="A895" s="2">
        <v>45809</v>
      </c>
      <c r="B895" t="s">
        <v>218</v>
      </c>
      <c r="C895">
        <v>460</v>
      </c>
      <c r="D895">
        <v>28624.86</v>
      </c>
    </row>
    <row r="896" spans="1:4">
      <c r="A896" s="2">
        <v>45839</v>
      </c>
      <c r="B896" t="s">
        <v>218</v>
      </c>
      <c r="C896">
        <v>302</v>
      </c>
      <c r="D896">
        <v>24365.21</v>
      </c>
    </row>
    <row r="897" spans="1:4">
      <c r="A897" s="2">
        <v>45870</v>
      </c>
      <c r="B897" t="s">
        <v>218</v>
      </c>
      <c r="C897">
        <v>628</v>
      </c>
      <c r="D897">
        <v>42316.3</v>
      </c>
    </row>
    <row r="898" spans="1:4">
      <c r="A898" s="2">
        <v>45901</v>
      </c>
      <c r="B898" t="s">
        <v>218</v>
      </c>
      <c r="C898">
        <v>400</v>
      </c>
      <c r="D898">
        <v>30786.8</v>
      </c>
    </row>
    <row r="899" spans="1:4">
      <c r="A899" s="2">
        <v>45931</v>
      </c>
      <c r="B899" t="s">
        <v>218</v>
      </c>
      <c r="C899">
        <v>871</v>
      </c>
      <c r="D899">
        <v>57760.07</v>
      </c>
    </row>
    <row r="900" spans="1:4">
      <c r="A900" s="2">
        <v>45962</v>
      </c>
      <c r="B900" t="s">
        <v>218</v>
      </c>
      <c r="C900">
        <v>513</v>
      </c>
      <c r="D900">
        <v>40170.74</v>
      </c>
    </row>
    <row r="901" spans="1:4">
      <c r="A901" s="2">
        <v>45992</v>
      </c>
      <c r="B901" t="s">
        <v>218</v>
      </c>
      <c r="C901">
        <v>264</v>
      </c>
      <c r="D901">
        <v>18545.62</v>
      </c>
    </row>
    <row r="902" spans="1:4">
      <c r="A902" s="2">
        <v>45658</v>
      </c>
      <c r="B902" t="s">
        <v>220</v>
      </c>
      <c r="C902">
        <v>142</v>
      </c>
      <c r="D902">
        <v>21263.19</v>
      </c>
    </row>
    <row r="903" spans="1:4">
      <c r="A903" s="2">
        <v>45689</v>
      </c>
      <c r="B903" t="s">
        <v>220</v>
      </c>
      <c r="C903">
        <v>389</v>
      </c>
      <c r="D903">
        <v>54483.9</v>
      </c>
    </row>
    <row r="904" spans="1:4">
      <c r="A904" s="2">
        <v>45717</v>
      </c>
      <c r="B904" t="s">
        <v>220</v>
      </c>
      <c r="C904">
        <v>987</v>
      </c>
      <c r="D904">
        <v>136590.66</v>
      </c>
    </row>
    <row r="905" spans="1:4">
      <c r="A905" s="2">
        <v>45748</v>
      </c>
      <c r="B905" t="s">
        <v>220</v>
      </c>
      <c r="C905">
        <v>367</v>
      </c>
      <c r="D905">
        <v>53805.67</v>
      </c>
    </row>
    <row r="906" spans="1:4">
      <c r="A906" s="2">
        <v>45778</v>
      </c>
      <c r="B906" t="s">
        <v>220</v>
      </c>
      <c r="C906">
        <v>970</v>
      </c>
      <c r="D906">
        <v>130330.34</v>
      </c>
    </row>
    <row r="907" spans="1:4">
      <c r="A907" s="2">
        <v>45809</v>
      </c>
      <c r="B907" t="s">
        <v>220</v>
      </c>
      <c r="C907">
        <v>806</v>
      </c>
      <c r="D907">
        <v>80602.65</v>
      </c>
    </row>
    <row r="908" spans="1:4">
      <c r="A908" s="2">
        <v>45839</v>
      </c>
      <c r="B908" t="s">
        <v>220</v>
      </c>
      <c r="C908">
        <v>720</v>
      </c>
      <c r="D908">
        <v>103237.04</v>
      </c>
    </row>
    <row r="909" spans="1:4">
      <c r="A909" s="2">
        <v>45870</v>
      </c>
      <c r="B909" t="s">
        <v>220</v>
      </c>
      <c r="C909">
        <v>973</v>
      </c>
      <c r="D909">
        <v>117915.76</v>
      </c>
    </row>
    <row r="910" spans="1:4">
      <c r="A910" s="2">
        <v>45901</v>
      </c>
      <c r="B910" t="s">
        <v>220</v>
      </c>
      <c r="C910">
        <v>878</v>
      </c>
      <c r="D910">
        <v>130876.35</v>
      </c>
    </row>
    <row r="911" spans="1:4">
      <c r="A911" s="2">
        <v>45931</v>
      </c>
      <c r="B911" t="s">
        <v>220</v>
      </c>
      <c r="C911">
        <v>639</v>
      </c>
      <c r="D911">
        <v>95332.5</v>
      </c>
    </row>
    <row r="912" spans="1:4">
      <c r="A912" s="2">
        <v>45962</v>
      </c>
      <c r="B912" t="s">
        <v>220</v>
      </c>
      <c r="C912">
        <v>275</v>
      </c>
      <c r="D912">
        <v>31941.45</v>
      </c>
    </row>
    <row r="913" spans="1:4">
      <c r="A913" s="2">
        <v>45992</v>
      </c>
      <c r="B913" t="s">
        <v>220</v>
      </c>
      <c r="C913">
        <v>811</v>
      </c>
      <c r="D913">
        <v>106934.56</v>
      </c>
    </row>
    <row r="914" spans="1:4">
      <c r="A914" s="2">
        <v>45658</v>
      </c>
      <c r="B914" t="s">
        <v>222</v>
      </c>
      <c r="C914">
        <v>465</v>
      </c>
      <c r="D914">
        <v>66328.54</v>
      </c>
    </row>
    <row r="915" spans="1:4">
      <c r="A915" s="2">
        <v>45689</v>
      </c>
      <c r="B915" t="s">
        <v>222</v>
      </c>
      <c r="C915">
        <v>483</v>
      </c>
      <c r="D915">
        <v>81265.57</v>
      </c>
    </row>
    <row r="916" spans="1:4">
      <c r="A916" s="2">
        <v>45717</v>
      </c>
      <c r="B916" t="s">
        <v>222</v>
      </c>
      <c r="C916">
        <v>650</v>
      </c>
      <c r="D916">
        <v>72603.55</v>
      </c>
    </row>
    <row r="917" spans="1:4">
      <c r="A917" s="2">
        <v>45748</v>
      </c>
      <c r="B917" t="s">
        <v>222</v>
      </c>
      <c r="C917">
        <v>551</v>
      </c>
      <c r="D917">
        <v>63501.96</v>
      </c>
    </row>
    <row r="918" spans="1:4">
      <c r="A918" s="2">
        <v>45778</v>
      </c>
      <c r="B918" t="s">
        <v>222</v>
      </c>
      <c r="C918">
        <v>677</v>
      </c>
      <c r="D918">
        <v>102964.85</v>
      </c>
    </row>
    <row r="919" spans="1:4">
      <c r="A919" s="2">
        <v>45809</v>
      </c>
      <c r="B919" t="s">
        <v>222</v>
      </c>
      <c r="C919">
        <v>633</v>
      </c>
      <c r="D919">
        <v>69043.84</v>
      </c>
    </row>
    <row r="920" spans="1:4">
      <c r="A920" s="2">
        <v>45839</v>
      </c>
      <c r="B920" t="s">
        <v>222</v>
      </c>
      <c r="C920">
        <v>721</v>
      </c>
      <c r="D920">
        <v>82305.54</v>
      </c>
    </row>
    <row r="921" spans="1:4">
      <c r="A921" s="2">
        <v>45870</v>
      </c>
      <c r="B921" t="s">
        <v>222</v>
      </c>
      <c r="C921">
        <v>813</v>
      </c>
      <c r="D921">
        <v>90643.75</v>
      </c>
    </row>
    <row r="922" spans="1:4">
      <c r="A922" s="2">
        <v>45901</v>
      </c>
      <c r="B922" t="s">
        <v>222</v>
      </c>
      <c r="C922">
        <v>1052</v>
      </c>
      <c r="D922">
        <v>148249.47</v>
      </c>
    </row>
    <row r="923" spans="1:4">
      <c r="A923" s="2">
        <v>45931</v>
      </c>
      <c r="B923" t="s">
        <v>222</v>
      </c>
      <c r="C923">
        <v>867</v>
      </c>
      <c r="D923">
        <v>147464.55</v>
      </c>
    </row>
    <row r="924" spans="1:4">
      <c r="A924" s="2">
        <v>45962</v>
      </c>
      <c r="B924" t="s">
        <v>222</v>
      </c>
      <c r="C924">
        <v>796</v>
      </c>
      <c r="D924">
        <v>103810.03</v>
      </c>
    </row>
    <row r="925" spans="1:4">
      <c r="A925" s="2">
        <v>45992</v>
      </c>
      <c r="B925" t="s">
        <v>222</v>
      </c>
      <c r="C925">
        <v>608</v>
      </c>
      <c r="D925">
        <v>97135.06</v>
      </c>
    </row>
    <row r="926" spans="1:4">
      <c r="A926" s="2">
        <v>45658</v>
      </c>
      <c r="B926" t="s">
        <v>224</v>
      </c>
      <c r="C926">
        <v>318</v>
      </c>
      <c r="D926">
        <v>57162.73</v>
      </c>
    </row>
    <row r="927" spans="1:4">
      <c r="A927" s="2">
        <v>45689</v>
      </c>
      <c r="B927" t="s">
        <v>224</v>
      </c>
      <c r="C927">
        <v>135</v>
      </c>
      <c r="D927">
        <v>19278.87</v>
      </c>
    </row>
    <row r="928" spans="1:4">
      <c r="A928" s="2">
        <v>45717</v>
      </c>
      <c r="B928" t="s">
        <v>224</v>
      </c>
      <c r="C928">
        <v>345</v>
      </c>
      <c r="D928">
        <v>46344.44</v>
      </c>
    </row>
    <row r="929" spans="1:4">
      <c r="A929" s="2">
        <v>45748</v>
      </c>
      <c r="B929" t="s">
        <v>224</v>
      </c>
      <c r="C929">
        <v>466</v>
      </c>
      <c r="D929">
        <v>53419.78</v>
      </c>
    </row>
    <row r="930" spans="1:4">
      <c r="A930" s="2">
        <v>45778</v>
      </c>
      <c r="B930" t="s">
        <v>224</v>
      </c>
      <c r="C930">
        <v>188</v>
      </c>
      <c r="D930">
        <v>24674.58</v>
      </c>
    </row>
    <row r="931" spans="1:4">
      <c r="A931" s="2">
        <v>45809</v>
      </c>
      <c r="B931" t="s">
        <v>224</v>
      </c>
      <c r="C931">
        <v>363</v>
      </c>
      <c r="D931">
        <v>43281.09</v>
      </c>
    </row>
    <row r="932" spans="1:4">
      <c r="A932" s="2">
        <v>45839</v>
      </c>
      <c r="B932" t="s">
        <v>224</v>
      </c>
      <c r="C932">
        <v>397</v>
      </c>
      <c r="D932">
        <v>53020.85</v>
      </c>
    </row>
    <row r="933" spans="1:4">
      <c r="A933" s="2">
        <v>45870</v>
      </c>
      <c r="B933" t="s">
        <v>224</v>
      </c>
      <c r="C933">
        <v>432</v>
      </c>
      <c r="D933">
        <v>49711.19</v>
      </c>
    </row>
    <row r="934" spans="1:4">
      <c r="A934" s="2">
        <v>45901</v>
      </c>
      <c r="B934" t="s">
        <v>224</v>
      </c>
      <c r="C934">
        <v>451</v>
      </c>
      <c r="D934">
        <v>66634.33</v>
      </c>
    </row>
    <row r="935" spans="1:4">
      <c r="A935" s="2">
        <v>45931</v>
      </c>
      <c r="B935" t="s">
        <v>224</v>
      </c>
      <c r="C935">
        <v>504</v>
      </c>
      <c r="D935">
        <v>82014.6</v>
      </c>
    </row>
    <row r="936" spans="1:4">
      <c r="A936" s="2">
        <v>45962</v>
      </c>
      <c r="B936" t="s">
        <v>224</v>
      </c>
      <c r="C936">
        <v>214</v>
      </c>
      <c r="D936">
        <v>36884.14</v>
      </c>
    </row>
    <row r="937" spans="1:4">
      <c r="A937" s="2">
        <v>45992</v>
      </c>
      <c r="B937" t="s">
        <v>224</v>
      </c>
      <c r="C937">
        <v>415</v>
      </c>
      <c r="D937">
        <v>74839.57</v>
      </c>
    </row>
    <row r="938" spans="1:4">
      <c r="A938" s="2">
        <v>45658</v>
      </c>
      <c r="B938" t="s">
        <v>226</v>
      </c>
      <c r="C938">
        <v>311</v>
      </c>
      <c r="D938">
        <v>24731.84</v>
      </c>
    </row>
    <row r="939" spans="1:4">
      <c r="A939" s="2">
        <v>45689</v>
      </c>
      <c r="B939" t="s">
        <v>226</v>
      </c>
      <c r="C939">
        <v>109</v>
      </c>
      <c r="D939">
        <v>6907.2</v>
      </c>
    </row>
    <row r="940" spans="1:4">
      <c r="A940" s="2">
        <v>45717</v>
      </c>
      <c r="B940" t="s">
        <v>226</v>
      </c>
      <c r="C940">
        <v>460</v>
      </c>
      <c r="D940">
        <v>24094.01</v>
      </c>
    </row>
    <row r="941" spans="1:4">
      <c r="A941" s="2">
        <v>45748</v>
      </c>
      <c r="B941" t="s">
        <v>226</v>
      </c>
      <c r="C941">
        <v>402</v>
      </c>
      <c r="D941">
        <v>28475</v>
      </c>
    </row>
    <row r="942" spans="1:4">
      <c r="A942" s="2">
        <v>45778</v>
      </c>
      <c r="B942" t="s">
        <v>226</v>
      </c>
      <c r="C942">
        <v>209</v>
      </c>
      <c r="D942">
        <v>16843.81</v>
      </c>
    </row>
    <row r="943" spans="1:4">
      <c r="A943" s="2">
        <v>45809</v>
      </c>
      <c r="B943" t="s">
        <v>226</v>
      </c>
      <c r="C943">
        <v>249</v>
      </c>
      <c r="D943">
        <v>13867.4</v>
      </c>
    </row>
    <row r="944" spans="1:4">
      <c r="A944" s="2">
        <v>45839</v>
      </c>
      <c r="B944" t="s">
        <v>226</v>
      </c>
      <c r="C944">
        <v>439</v>
      </c>
      <c r="D944">
        <v>36476.18</v>
      </c>
    </row>
    <row r="945" spans="1:4">
      <c r="A945" s="2">
        <v>45870</v>
      </c>
      <c r="B945" t="s">
        <v>226</v>
      </c>
      <c r="C945">
        <v>266</v>
      </c>
      <c r="D945">
        <v>20665.13</v>
      </c>
    </row>
    <row r="946" spans="1:4">
      <c r="A946" s="2">
        <v>45901</v>
      </c>
      <c r="B946" t="s">
        <v>226</v>
      </c>
      <c r="C946">
        <v>457</v>
      </c>
      <c r="D946">
        <v>33468.32</v>
      </c>
    </row>
    <row r="947" spans="1:4">
      <c r="A947" s="2">
        <v>45931</v>
      </c>
      <c r="B947" t="s">
        <v>226</v>
      </c>
      <c r="C947">
        <v>374</v>
      </c>
      <c r="D947">
        <v>20436.68</v>
      </c>
    </row>
    <row r="948" spans="1:4">
      <c r="A948" s="2">
        <v>45962</v>
      </c>
      <c r="B948" t="s">
        <v>226</v>
      </c>
      <c r="C948">
        <v>369</v>
      </c>
      <c r="D948">
        <v>26360.16</v>
      </c>
    </row>
    <row r="949" spans="1:4">
      <c r="A949" s="2">
        <v>45992</v>
      </c>
      <c r="B949" t="s">
        <v>226</v>
      </c>
      <c r="C949">
        <v>318</v>
      </c>
      <c r="D949">
        <v>23837.33</v>
      </c>
    </row>
    <row r="950" spans="1:4">
      <c r="A950" s="2">
        <v>45658</v>
      </c>
      <c r="B950" t="s">
        <v>228</v>
      </c>
      <c r="C950">
        <v>366</v>
      </c>
      <c r="D950">
        <v>50007.25</v>
      </c>
    </row>
    <row r="951" spans="1:4">
      <c r="A951" s="2">
        <v>45689</v>
      </c>
      <c r="B951" t="s">
        <v>228</v>
      </c>
      <c r="C951">
        <v>78</v>
      </c>
      <c r="D951">
        <v>7747.43</v>
      </c>
    </row>
    <row r="952" spans="1:4">
      <c r="A952" s="2">
        <v>45717</v>
      </c>
      <c r="B952" t="s">
        <v>228</v>
      </c>
      <c r="C952">
        <v>258</v>
      </c>
      <c r="D952">
        <v>29085.25</v>
      </c>
    </row>
    <row r="953" spans="1:4">
      <c r="A953" s="2">
        <v>45748</v>
      </c>
      <c r="B953" t="s">
        <v>228</v>
      </c>
      <c r="C953">
        <v>365</v>
      </c>
      <c r="D953">
        <v>46426.86</v>
      </c>
    </row>
    <row r="954" spans="1:4">
      <c r="A954" s="2">
        <v>45778</v>
      </c>
      <c r="B954" t="s">
        <v>228</v>
      </c>
      <c r="C954">
        <v>85</v>
      </c>
      <c r="D954">
        <v>12261.92</v>
      </c>
    </row>
    <row r="955" spans="1:4">
      <c r="A955" s="2">
        <v>45809</v>
      </c>
      <c r="B955" t="s">
        <v>228</v>
      </c>
      <c r="C955">
        <v>358</v>
      </c>
      <c r="D955">
        <v>39084.99</v>
      </c>
    </row>
    <row r="956" spans="1:4">
      <c r="A956" s="2">
        <v>45839</v>
      </c>
      <c r="B956" t="s">
        <v>228</v>
      </c>
      <c r="C956">
        <v>405</v>
      </c>
      <c r="D956">
        <v>37576.65</v>
      </c>
    </row>
    <row r="957" spans="1:4">
      <c r="A957" s="2">
        <v>45870</v>
      </c>
      <c r="B957" t="s">
        <v>228</v>
      </c>
      <c r="C957">
        <v>371</v>
      </c>
      <c r="D957">
        <v>37877.44</v>
      </c>
    </row>
    <row r="958" spans="1:4">
      <c r="A958" s="2">
        <v>45901</v>
      </c>
      <c r="B958" t="s">
        <v>228</v>
      </c>
      <c r="C958">
        <v>205</v>
      </c>
      <c r="D958">
        <v>26597.26</v>
      </c>
    </row>
    <row r="959" spans="1:4">
      <c r="A959" s="2">
        <v>45931</v>
      </c>
      <c r="B959" t="s">
        <v>228</v>
      </c>
      <c r="C959">
        <v>162</v>
      </c>
      <c r="D959">
        <v>17037.38</v>
      </c>
    </row>
    <row r="960" spans="1:4">
      <c r="A960" s="2">
        <v>45962</v>
      </c>
      <c r="B960" t="s">
        <v>228</v>
      </c>
      <c r="C960">
        <v>306</v>
      </c>
      <c r="D960">
        <v>36098.33</v>
      </c>
    </row>
    <row r="961" spans="1:4">
      <c r="A961" s="2">
        <v>45992</v>
      </c>
      <c r="B961" t="s">
        <v>228</v>
      </c>
      <c r="C961">
        <v>413</v>
      </c>
      <c r="D961">
        <v>54084.18</v>
      </c>
    </row>
  </sheetData>
  <autoFilter xmlns:etc="http://www.wps.cn/officeDocument/2017/etCustomData" ref="A1:D961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4.5" outlineLevelCol="7"/>
  <cols>
    <col min="1" max="2" width="12" customWidth="1"/>
    <col min="3" max="3" width="19" customWidth="1"/>
    <col min="4" max="4" width="22" customWidth="1"/>
    <col min="5" max="5" width="18" customWidth="1"/>
    <col min="6" max="6" width="21" customWidth="1"/>
    <col min="7" max="7" width="15" customWidth="1"/>
  </cols>
  <sheetData>
    <row r="1" ht="30" customHeight="1" spans="1:8">
      <c r="A1" s="1" t="s">
        <v>25</v>
      </c>
      <c r="B1" s="1" t="s">
        <v>1221</v>
      </c>
      <c r="C1" s="1" t="s">
        <v>1222</v>
      </c>
      <c r="D1" s="1" t="s">
        <v>1223</v>
      </c>
      <c r="E1" s="1" t="s">
        <v>1224</v>
      </c>
      <c r="F1" s="1" t="s">
        <v>1225</v>
      </c>
      <c r="G1" s="1" t="s">
        <v>1226</v>
      </c>
      <c r="H1" t="s">
        <v>1227</v>
      </c>
    </row>
    <row r="2" spans="1:8">
      <c r="A2" t="s">
        <v>276</v>
      </c>
      <c r="B2" t="s">
        <v>1228</v>
      </c>
      <c r="C2">
        <v>100</v>
      </c>
      <c r="D2">
        <v>100</v>
      </c>
      <c r="E2">
        <v>3.4</v>
      </c>
      <c r="F2">
        <v>3</v>
      </c>
      <c r="G2">
        <v>94.1</v>
      </c>
      <c r="H2">
        <f>AVERAGE(C2,D2)</f>
        <v>100</v>
      </c>
    </row>
    <row r="3" spans="1:8">
      <c r="A3" t="s">
        <v>263</v>
      </c>
      <c r="B3" t="s">
        <v>1229</v>
      </c>
      <c r="C3">
        <v>100</v>
      </c>
      <c r="D3">
        <v>99.8</v>
      </c>
      <c r="E3">
        <v>-18</v>
      </c>
      <c r="F3">
        <v>3</v>
      </c>
      <c r="G3">
        <v>79.3</v>
      </c>
      <c r="H3">
        <f>AVERAGE(C3,D3)</f>
        <v>99.9</v>
      </c>
    </row>
    <row r="4" spans="1:8">
      <c r="A4" t="s">
        <v>242</v>
      </c>
      <c r="B4" t="s">
        <v>1228</v>
      </c>
      <c r="C4">
        <v>99.4</v>
      </c>
      <c r="D4">
        <v>99.4</v>
      </c>
      <c r="E4">
        <v>-0.6</v>
      </c>
      <c r="F4">
        <v>3</v>
      </c>
      <c r="G4">
        <v>98.9</v>
      </c>
      <c r="H4">
        <f>AVERAGE(C4,D4)</f>
        <v>99.4</v>
      </c>
    </row>
    <row r="5" spans="1:8">
      <c r="A5" t="s">
        <v>272</v>
      </c>
      <c r="B5" t="s">
        <v>1229</v>
      </c>
      <c r="C5">
        <v>95.1</v>
      </c>
      <c r="D5">
        <v>100</v>
      </c>
      <c r="E5">
        <v>3.4</v>
      </c>
      <c r="F5">
        <v>3</v>
      </c>
      <c r="G5">
        <v>84.1</v>
      </c>
      <c r="H5">
        <f>AVERAGE(C5,D5)</f>
        <v>97.55</v>
      </c>
    </row>
    <row r="6" spans="1:8">
      <c r="A6" t="s">
        <v>270</v>
      </c>
      <c r="B6" t="s">
        <v>1229</v>
      </c>
      <c r="C6">
        <v>98.8</v>
      </c>
      <c r="D6">
        <v>96.1</v>
      </c>
      <c r="E6">
        <v>13.3</v>
      </c>
      <c r="F6">
        <v>4</v>
      </c>
      <c r="G6">
        <v>59.8</v>
      </c>
      <c r="H6">
        <f>AVERAGE(C6,D6)</f>
        <v>97.45</v>
      </c>
    </row>
    <row r="7" spans="1:8">
      <c r="A7" t="s">
        <v>247</v>
      </c>
      <c r="B7" t="s">
        <v>1230</v>
      </c>
      <c r="C7">
        <v>94.6</v>
      </c>
      <c r="D7">
        <v>100</v>
      </c>
      <c r="E7">
        <v>6.9</v>
      </c>
      <c r="F7">
        <v>4</v>
      </c>
      <c r="G7">
        <v>85.7</v>
      </c>
      <c r="H7">
        <f>AVERAGE(C7,D7)</f>
        <v>97.3</v>
      </c>
    </row>
    <row r="8" spans="1:8">
      <c r="A8" t="s">
        <v>257</v>
      </c>
      <c r="B8" t="s">
        <v>1229</v>
      </c>
      <c r="C8">
        <v>100</v>
      </c>
      <c r="D8">
        <v>94.4</v>
      </c>
      <c r="E8">
        <v>1</v>
      </c>
      <c r="F8">
        <v>3</v>
      </c>
      <c r="G8">
        <v>71.6</v>
      </c>
      <c r="H8">
        <f>AVERAGE(C8,D8)</f>
        <v>97.2</v>
      </c>
    </row>
    <row r="9" spans="1:8">
      <c r="A9" t="s">
        <v>274</v>
      </c>
      <c r="B9" t="s">
        <v>1231</v>
      </c>
      <c r="C9">
        <v>100</v>
      </c>
      <c r="D9">
        <v>94.1</v>
      </c>
      <c r="E9">
        <v>-5.9</v>
      </c>
      <c r="F9">
        <v>2</v>
      </c>
      <c r="G9">
        <v>88.1</v>
      </c>
      <c r="H9">
        <f>AVERAGE(C9,D9)</f>
        <v>97.05</v>
      </c>
    </row>
    <row r="10" spans="1:8">
      <c r="A10" t="s">
        <v>261</v>
      </c>
      <c r="B10" t="s">
        <v>1231</v>
      </c>
      <c r="C10">
        <v>100</v>
      </c>
      <c r="D10">
        <v>94</v>
      </c>
      <c r="E10">
        <v>-2.4</v>
      </c>
      <c r="F10">
        <v>3</v>
      </c>
      <c r="G10">
        <v>82.1</v>
      </c>
      <c r="H10">
        <f>AVERAGE(C10,D10)</f>
        <v>97</v>
      </c>
    </row>
    <row r="11" spans="1:8">
      <c r="A11" t="s">
        <v>261</v>
      </c>
      <c r="B11" t="s">
        <v>1228</v>
      </c>
      <c r="C11">
        <v>100</v>
      </c>
      <c r="D11">
        <v>93.1</v>
      </c>
      <c r="E11">
        <v>1.9</v>
      </c>
      <c r="F11">
        <v>2</v>
      </c>
      <c r="G11">
        <v>76.6</v>
      </c>
      <c r="H11">
        <f>AVERAGE(C11,D11)</f>
        <v>96.55</v>
      </c>
    </row>
    <row r="12" spans="1:8">
      <c r="A12" t="s">
        <v>263</v>
      </c>
      <c r="B12" t="s">
        <v>1230</v>
      </c>
      <c r="C12">
        <v>93.1</v>
      </c>
      <c r="D12">
        <v>100</v>
      </c>
      <c r="E12">
        <v>-6.3</v>
      </c>
      <c r="F12">
        <v>3</v>
      </c>
      <c r="G12">
        <v>91.6</v>
      </c>
      <c r="H12">
        <f>AVERAGE(C12,D12)</f>
        <v>96.55</v>
      </c>
    </row>
    <row r="13" spans="1:8">
      <c r="A13" t="s">
        <v>247</v>
      </c>
      <c r="B13" t="s">
        <v>1231</v>
      </c>
      <c r="C13">
        <v>100</v>
      </c>
      <c r="D13">
        <v>92.9</v>
      </c>
      <c r="E13">
        <v>4.3</v>
      </c>
      <c r="F13">
        <v>3</v>
      </c>
      <c r="G13">
        <v>78.3</v>
      </c>
      <c r="H13">
        <f>AVERAGE(C13,D13)</f>
        <v>96.45</v>
      </c>
    </row>
    <row r="14" spans="1:8">
      <c r="A14" t="s">
        <v>255</v>
      </c>
      <c r="B14" t="s">
        <v>1231</v>
      </c>
      <c r="C14">
        <v>99.8</v>
      </c>
      <c r="D14">
        <v>92.6</v>
      </c>
      <c r="E14">
        <v>-5.4</v>
      </c>
      <c r="F14">
        <v>3</v>
      </c>
      <c r="G14">
        <v>100</v>
      </c>
      <c r="H14">
        <f>AVERAGE(C14,D14)</f>
        <v>96.2</v>
      </c>
    </row>
    <row r="15" spans="1:8">
      <c r="A15" t="s">
        <v>274</v>
      </c>
      <c r="B15" t="s">
        <v>1228</v>
      </c>
      <c r="C15">
        <v>99.9</v>
      </c>
      <c r="D15">
        <v>92.1</v>
      </c>
      <c r="E15">
        <v>4.7</v>
      </c>
      <c r="F15">
        <v>3</v>
      </c>
      <c r="G15">
        <v>96.2</v>
      </c>
      <c r="H15">
        <f>AVERAGE(C15,D15)</f>
        <v>96</v>
      </c>
    </row>
    <row r="16" spans="1:8">
      <c r="A16" t="s">
        <v>257</v>
      </c>
      <c r="B16" t="s">
        <v>1228</v>
      </c>
      <c r="C16">
        <v>95.8</v>
      </c>
      <c r="D16">
        <v>96</v>
      </c>
      <c r="E16">
        <v>-1.8</v>
      </c>
      <c r="F16">
        <v>5</v>
      </c>
      <c r="G16">
        <v>80.7</v>
      </c>
      <c r="H16">
        <f>AVERAGE(C16,D16)</f>
        <v>95.9</v>
      </c>
    </row>
    <row r="17" spans="1:8">
      <c r="A17" t="s">
        <v>280</v>
      </c>
      <c r="B17" t="s">
        <v>1228</v>
      </c>
      <c r="C17">
        <v>100</v>
      </c>
      <c r="D17">
        <v>90.8</v>
      </c>
      <c r="E17">
        <v>-5.6</v>
      </c>
      <c r="F17">
        <v>3</v>
      </c>
      <c r="G17">
        <v>97</v>
      </c>
      <c r="H17">
        <f>AVERAGE(C17,D17)</f>
        <v>95.4</v>
      </c>
    </row>
    <row r="18" spans="1:8">
      <c r="A18" t="s">
        <v>257</v>
      </c>
      <c r="B18" t="s">
        <v>1230</v>
      </c>
      <c r="C18">
        <v>96.5</v>
      </c>
      <c r="D18">
        <v>93.6</v>
      </c>
      <c r="E18">
        <v>-1.2</v>
      </c>
      <c r="F18">
        <v>2</v>
      </c>
      <c r="G18">
        <v>78.8</v>
      </c>
      <c r="H18">
        <f>AVERAGE(C18,D18)</f>
        <v>95.05</v>
      </c>
    </row>
    <row r="19" spans="1:8">
      <c r="A19" t="s">
        <v>286</v>
      </c>
      <c r="B19" t="s">
        <v>1230</v>
      </c>
      <c r="C19">
        <v>100</v>
      </c>
      <c r="D19">
        <v>89.7</v>
      </c>
      <c r="E19">
        <v>3.2</v>
      </c>
      <c r="F19">
        <v>3</v>
      </c>
      <c r="G19">
        <v>100</v>
      </c>
      <c r="H19">
        <f>AVERAGE(C19,D19)</f>
        <v>94.85</v>
      </c>
    </row>
    <row r="20" spans="1:8">
      <c r="A20" t="s">
        <v>259</v>
      </c>
      <c r="B20" t="s">
        <v>1231</v>
      </c>
      <c r="C20">
        <v>91.6</v>
      </c>
      <c r="D20">
        <v>97.9</v>
      </c>
      <c r="E20">
        <v>0.1</v>
      </c>
      <c r="F20">
        <v>3</v>
      </c>
      <c r="G20">
        <v>100</v>
      </c>
      <c r="H20">
        <f>AVERAGE(C20,D20)</f>
        <v>94.75</v>
      </c>
    </row>
    <row r="21" spans="1:8">
      <c r="A21" t="s">
        <v>284</v>
      </c>
      <c r="B21" t="s">
        <v>1228</v>
      </c>
      <c r="C21">
        <v>100</v>
      </c>
      <c r="D21">
        <v>89.5</v>
      </c>
      <c r="E21">
        <v>-0.3</v>
      </c>
      <c r="F21">
        <v>3</v>
      </c>
      <c r="G21">
        <v>77.4</v>
      </c>
      <c r="H21">
        <f>AVERAGE(C21,D21)</f>
        <v>94.75</v>
      </c>
    </row>
    <row r="22" spans="1:8">
      <c r="A22" t="s">
        <v>259</v>
      </c>
      <c r="B22" t="s">
        <v>1230</v>
      </c>
      <c r="C22">
        <v>97.7</v>
      </c>
      <c r="D22">
        <v>91.6</v>
      </c>
      <c r="E22">
        <v>2.5</v>
      </c>
      <c r="F22">
        <v>4</v>
      </c>
      <c r="G22">
        <v>81.9</v>
      </c>
      <c r="H22">
        <f>AVERAGE(C22,D22)</f>
        <v>94.65</v>
      </c>
    </row>
    <row r="23" spans="1:8">
      <c r="A23" t="s">
        <v>278</v>
      </c>
      <c r="B23" t="s">
        <v>1229</v>
      </c>
      <c r="C23">
        <v>92.3</v>
      </c>
      <c r="D23">
        <v>96.8</v>
      </c>
      <c r="E23">
        <v>5.1</v>
      </c>
      <c r="F23">
        <v>3</v>
      </c>
      <c r="G23">
        <v>91.3</v>
      </c>
      <c r="H23">
        <f>AVERAGE(C23,D23)</f>
        <v>94.55</v>
      </c>
    </row>
    <row r="24" spans="1:8">
      <c r="A24" t="s">
        <v>268</v>
      </c>
      <c r="B24" t="s">
        <v>1229</v>
      </c>
      <c r="C24">
        <v>100</v>
      </c>
      <c r="D24">
        <v>88.8</v>
      </c>
      <c r="E24">
        <v>-5.2</v>
      </c>
      <c r="F24">
        <v>2</v>
      </c>
      <c r="G24">
        <v>87.5</v>
      </c>
      <c r="H24">
        <f>AVERAGE(C24,D24)</f>
        <v>94.4</v>
      </c>
    </row>
    <row r="25" spans="1:8">
      <c r="A25" t="s">
        <v>280</v>
      </c>
      <c r="B25" t="s">
        <v>1229</v>
      </c>
      <c r="C25">
        <v>98.8</v>
      </c>
      <c r="D25">
        <v>90</v>
      </c>
      <c r="E25">
        <v>1.6</v>
      </c>
      <c r="F25">
        <v>4</v>
      </c>
      <c r="G25">
        <v>92.3</v>
      </c>
      <c r="H25">
        <f>AVERAGE(C25,D25)</f>
        <v>94.4</v>
      </c>
    </row>
    <row r="26" spans="1:8">
      <c r="A26" t="s">
        <v>236</v>
      </c>
      <c r="B26" t="s">
        <v>1228</v>
      </c>
      <c r="C26">
        <v>95.1</v>
      </c>
      <c r="D26">
        <v>93.3</v>
      </c>
      <c r="E26">
        <v>-9.9</v>
      </c>
      <c r="F26">
        <v>3</v>
      </c>
      <c r="G26">
        <v>81.7</v>
      </c>
      <c r="H26">
        <f>AVERAGE(C26,D26)</f>
        <v>94.2</v>
      </c>
    </row>
    <row r="27" spans="1:8">
      <c r="A27" t="s">
        <v>236</v>
      </c>
      <c r="B27" t="s">
        <v>1229</v>
      </c>
      <c r="C27">
        <v>88.7</v>
      </c>
      <c r="D27">
        <v>98.8</v>
      </c>
      <c r="E27">
        <v>3.3</v>
      </c>
      <c r="F27">
        <v>3</v>
      </c>
      <c r="G27">
        <v>75.7</v>
      </c>
      <c r="H27">
        <f>AVERAGE(C27,D27)</f>
        <v>93.75</v>
      </c>
    </row>
    <row r="28" spans="1:8">
      <c r="A28" t="s">
        <v>261</v>
      </c>
      <c r="B28" t="s">
        <v>1230</v>
      </c>
      <c r="C28">
        <v>100</v>
      </c>
      <c r="D28">
        <v>87.5</v>
      </c>
      <c r="E28">
        <v>0.3</v>
      </c>
      <c r="F28">
        <v>2</v>
      </c>
      <c r="G28">
        <v>75.7</v>
      </c>
      <c r="H28">
        <f>AVERAGE(C28,D28)</f>
        <v>93.75</v>
      </c>
    </row>
    <row r="29" spans="1:8">
      <c r="A29" t="s">
        <v>247</v>
      </c>
      <c r="B29" t="s">
        <v>1229</v>
      </c>
      <c r="C29">
        <v>87.4</v>
      </c>
      <c r="D29">
        <v>100</v>
      </c>
      <c r="E29">
        <v>5.2</v>
      </c>
      <c r="F29">
        <v>4</v>
      </c>
      <c r="G29">
        <v>62.8</v>
      </c>
      <c r="H29">
        <f>AVERAGE(C29,D29)</f>
        <v>93.7</v>
      </c>
    </row>
    <row r="30" spans="1:8">
      <c r="A30" t="s">
        <v>272</v>
      </c>
      <c r="B30" t="s">
        <v>1231</v>
      </c>
      <c r="C30">
        <v>90.2</v>
      </c>
      <c r="D30">
        <v>96.7</v>
      </c>
      <c r="E30">
        <v>-6</v>
      </c>
      <c r="F30">
        <v>3</v>
      </c>
      <c r="G30">
        <v>86.2</v>
      </c>
      <c r="H30">
        <f>AVERAGE(C30,D30)</f>
        <v>93.45</v>
      </c>
    </row>
    <row r="31" spans="1:8">
      <c r="A31" t="s">
        <v>259</v>
      </c>
      <c r="B31" t="s">
        <v>1228</v>
      </c>
      <c r="C31">
        <v>88.7</v>
      </c>
      <c r="D31">
        <v>98.1</v>
      </c>
      <c r="E31">
        <v>-4.6</v>
      </c>
      <c r="F31">
        <v>3</v>
      </c>
      <c r="G31">
        <v>99.9</v>
      </c>
      <c r="H31">
        <f>AVERAGE(C31,D31)</f>
        <v>93.4</v>
      </c>
    </row>
    <row r="32" spans="1:8">
      <c r="A32" t="s">
        <v>284</v>
      </c>
      <c r="B32" t="s">
        <v>1229</v>
      </c>
      <c r="C32">
        <v>97.6</v>
      </c>
      <c r="D32">
        <v>88.9</v>
      </c>
      <c r="E32">
        <v>-13.8</v>
      </c>
      <c r="F32">
        <v>2</v>
      </c>
      <c r="G32">
        <v>92.1</v>
      </c>
      <c r="H32">
        <f>AVERAGE(C32,D32)</f>
        <v>93.25</v>
      </c>
    </row>
    <row r="33" spans="1:8">
      <c r="A33" t="s">
        <v>270</v>
      </c>
      <c r="B33" t="s">
        <v>1230</v>
      </c>
      <c r="C33">
        <v>86.1</v>
      </c>
      <c r="D33">
        <v>100</v>
      </c>
      <c r="E33">
        <v>-1.4</v>
      </c>
      <c r="F33">
        <v>3</v>
      </c>
      <c r="G33">
        <v>89.6</v>
      </c>
      <c r="H33">
        <f>AVERAGE(C33,D33)</f>
        <v>93.05</v>
      </c>
    </row>
    <row r="34" spans="1:8">
      <c r="A34" t="s">
        <v>272</v>
      </c>
      <c r="B34" t="s">
        <v>1228</v>
      </c>
      <c r="C34">
        <v>84.8</v>
      </c>
      <c r="D34">
        <v>100</v>
      </c>
      <c r="E34">
        <v>-0.3</v>
      </c>
      <c r="F34">
        <v>3</v>
      </c>
      <c r="G34">
        <v>96</v>
      </c>
      <c r="H34">
        <f>AVERAGE(C34,D34)</f>
        <v>92.4</v>
      </c>
    </row>
    <row r="35" spans="1:8">
      <c r="A35" t="s">
        <v>263</v>
      </c>
      <c r="B35" t="s">
        <v>1228</v>
      </c>
      <c r="C35">
        <v>88.3</v>
      </c>
      <c r="D35">
        <v>96.4</v>
      </c>
      <c r="E35">
        <v>-9.4</v>
      </c>
      <c r="F35">
        <v>4</v>
      </c>
      <c r="G35">
        <v>78.5</v>
      </c>
      <c r="H35">
        <f>AVERAGE(C35,D35)</f>
        <v>92.35</v>
      </c>
    </row>
    <row r="36" spans="1:8">
      <c r="A36" t="s">
        <v>284</v>
      </c>
      <c r="B36" t="s">
        <v>1231</v>
      </c>
      <c r="C36">
        <v>92.5</v>
      </c>
      <c r="D36">
        <v>92</v>
      </c>
      <c r="E36">
        <v>-1.8</v>
      </c>
      <c r="F36">
        <v>2</v>
      </c>
      <c r="G36">
        <v>81.2</v>
      </c>
      <c r="H36">
        <f>AVERAGE(C36,D36)</f>
        <v>92.25</v>
      </c>
    </row>
    <row r="37" spans="1:8">
      <c r="A37" t="s">
        <v>247</v>
      </c>
      <c r="B37" t="s">
        <v>1228</v>
      </c>
      <c r="C37">
        <v>94.5</v>
      </c>
      <c r="D37">
        <v>89.8</v>
      </c>
      <c r="E37">
        <v>-0.9</v>
      </c>
      <c r="F37">
        <v>4</v>
      </c>
      <c r="G37">
        <v>84.3</v>
      </c>
      <c r="H37">
        <f>AVERAGE(C37,D37)</f>
        <v>92.15</v>
      </c>
    </row>
    <row r="38" spans="1:8">
      <c r="A38" t="s">
        <v>236</v>
      </c>
      <c r="B38" t="s">
        <v>1230</v>
      </c>
      <c r="C38">
        <v>83.9</v>
      </c>
      <c r="D38">
        <v>100</v>
      </c>
      <c r="E38">
        <v>2</v>
      </c>
      <c r="F38">
        <v>4</v>
      </c>
      <c r="G38">
        <v>80.5</v>
      </c>
      <c r="H38">
        <f>AVERAGE(C38,D38)</f>
        <v>91.95</v>
      </c>
    </row>
    <row r="39" spans="1:8">
      <c r="A39" t="s">
        <v>280</v>
      </c>
      <c r="B39" t="s">
        <v>1231</v>
      </c>
      <c r="C39">
        <v>91.2</v>
      </c>
      <c r="D39">
        <v>92.7</v>
      </c>
      <c r="E39">
        <v>-3.4</v>
      </c>
      <c r="F39">
        <v>3</v>
      </c>
      <c r="G39">
        <v>100</v>
      </c>
      <c r="H39">
        <f>AVERAGE(C39,D39)</f>
        <v>91.95</v>
      </c>
    </row>
    <row r="40" spans="1:8">
      <c r="A40" t="s">
        <v>274</v>
      </c>
      <c r="B40" t="s">
        <v>1229</v>
      </c>
      <c r="C40">
        <v>92.9</v>
      </c>
      <c r="D40">
        <v>90.6</v>
      </c>
      <c r="E40">
        <v>2.3</v>
      </c>
      <c r="F40">
        <v>3</v>
      </c>
      <c r="G40">
        <v>100</v>
      </c>
      <c r="H40">
        <f>AVERAGE(C40,D40)</f>
        <v>91.75</v>
      </c>
    </row>
    <row r="41" spans="1:8">
      <c r="A41" t="s">
        <v>255</v>
      </c>
      <c r="B41" t="s">
        <v>1228</v>
      </c>
      <c r="C41">
        <v>89.2</v>
      </c>
      <c r="D41">
        <v>94.1</v>
      </c>
      <c r="E41">
        <v>-0.8</v>
      </c>
      <c r="F41">
        <v>1</v>
      </c>
      <c r="G41">
        <v>86.5</v>
      </c>
      <c r="H41">
        <f>AVERAGE(C41,D41)</f>
        <v>91.65</v>
      </c>
    </row>
    <row r="42" spans="1:8">
      <c r="A42" t="s">
        <v>278</v>
      </c>
      <c r="B42" t="s">
        <v>1228</v>
      </c>
      <c r="C42">
        <v>91.8</v>
      </c>
      <c r="D42">
        <v>91</v>
      </c>
      <c r="E42">
        <v>-3.8</v>
      </c>
      <c r="F42">
        <v>2</v>
      </c>
      <c r="G42">
        <v>88.6</v>
      </c>
      <c r="H42">
        <f>AVERAGE(C42,D42)</f>
        <v>91.4</v>
      </c>
    </row>
    <row r="43" spans="1:8">
      <c r="A43" t="s">
        <v>274</v>
      </c>
      <c r="B43" t="s">
        <v>1230</v>
      </c>
      <c r="C43">
        <v>87.2</v>
      </c>
      <c r="D43">
        <v>95.5</v>
      </c>
      <c r="E43">
        <v>9.3</v>
      </c>
      <c r="F43">
        <v>3</v>
      </c>
      <c r="G43">
        <v>100</v>
      </c>
      <c r="H43">
        <f>AVERAGE(C43,D43)</f>
        <v>91.35</v>
      </c>
    </row>
    <row r="44" spans="1:8">
      <c r="A44" t="s">
        <v>257</v>
      </c>
      <c r="B44" t="s">
        <v>1231</v>
      </c>
      <c r="C44">
        <v>84.5</v>
      </c>
      <c r="D44">
        <v>97.9</v>
      </c>
      <c r="E44">
        <v>-14.3</v>
      </c>
      <c r="F44">
        <v>3</v>
      </c>
      <c r="G44">
        <v>79.4</v>
      </c>
      <c r="H44">
        <f>AVERAGE(C44,D44)</f>
        <v>91.2</v>
      </c>
    </row>
    <row r="45" spans="1:8">
      <c r="A45" t="s">
        <v>242</v>
      </c>
      <c r="B45" t="s">
        <v>1230</v>
      </c>
      <c r="C45">
        <v>100</v>
      </c>
      <c r="D45">
        <v>82</v>
      </c>
      <c r="E45">
        <v>-5.2</v>
      </c>
      <c r="F45">
        <v>3</v>
      </c>
      <c r="G45">
        <v>100</v>
      </c>
      <c r="H45">
        <f>AVERAGE(C45,D45)</f>
        <v>91</v>
      </c>
    </row>
    <row r="46" spans="1:8">
      <c r="A46" t="s">
        <v>270</v>
      </c>
      <c r="B46" t="s">
        <v>1231</v>
      </c>
      <c r="C46">
        <v>86.5</v>
      </c>
      <c r="D46">
        <v>95.4</v>
      </c>
      <c r="E46">
        <v>-0.2</v>
      </c>
      <c r="F46">
        <v>3</v>
      </c>
      <c r="G46">
        <v>67.6</v>
      </c>
      <c r="H46">
        <f>AVERAGE(C46,D46)</f>
        <v>90.95</v>
      </c>
    </row>
    <row r="47" spans="1:8">
      <c r="A47" t="s">
        <v>255</v>
      </c>
      <c r="B47" t="s">
        <v>1229</v>
      </c>
      <c r="C47">
        <v>92.5</v>
      </c>
      <c r="D47">
        <v>88.9</v>
      </c>
      <c r="E47">
        <v>-11</v>
      </c>
      <c r="F47">
        <v>2</v>
      </c>
      <c r="G47">
        <v>100</v>
      </c>
      <c r="H47">
        <f>AVERAGE(C47,D47)</f>
        <v>90.7</v>
      </c>
    </row>
    <row r="48" spans="1:8">
      <c r="A48" t="s">
        <v>266</v>
      </c>
      <c r="B48" t="s">
        <v>1228</v>
      </c>
      <c r="C48">
        <v>95.5</v>
      </c>
      <c r="D48">
        <v>85.7</v>
      </c>
      <c r="E48">
        <v>-9.6</v>
      </c>
      <c r="F48">
        <v>3</v>
      </c>
      <c r="G48">
        <v>100</v>
      </c>
      <c r="H48">
        <f>AVERAGE(C48,D48)</f>
        <v>90.6</v>
      </c>
    </row>
    <row r="49" spans="1:8">
      <c r="A49" t="s">
        <v>270</v>
      </c>
      <c r="B49" t="s">
        <v>1228</v>
      </c>
      <c r="C49">
        <v>82.8</v>
      </c>
      <c r="D49">
        <v>97.1</v>
      </c>
      <c r="E49">
        <v>-6.5</v>
      </c>
      <c r="F49">
        <v>5</v>
      </c>
      <c r="G49">
        <v>88.4</v>
      </c>
      <c r="H49">
        <f>AVERAGE(C49,D49)</f>
        <v>89.95</v>
      </c>
    </row>
    <row r="50" spans="1:8">
      <c r="A50" t="s">
        <v>259</v>
      </c>
      <c r="B50" t="s">
        <v>1229</v>
      </c>
      <c r="C50">
        <v>85</v>
      </c>
      <c r="D50">
        <v>93.5</v>
      </c>
      <c r="E50">
        <v>0.4</v>
      </c>
      <c r="F50">
        <v>3</v>
      </c>
      <c r="G50">
        <v>93.4</v>
      </c>
      <c r="H50">
        <f>AVERAGE(C50,D50)</f>
        <v>89.25</v>
      </c>
    </row>
    <row r="51" spans="1:8">
      <c r="A51" t="s">
        <v>280</v>
      </c>
      <c r="B51" t="s">
        <v>1230</v>
      </c>
      <c r="C51">
        <v>88</v>
      </c>
      <c r="D51">
        <v>89.7</v>
      </c>
      <c r="E51">
        <v>0.7</v>
      </c>
      <c r="F51">
        <v>4</v>
      </c>
      <c r="G51">
        <v>99.5</v>
      </c>
      <c r="H51">
        <f>AVERAGE(C51,D51)</f>
        <v>88.85</v>
      </c>
    </row>
    <row r="52" spans="1:8">
      <c r="A52" t="s">
        <v>276</v>
      </c>
      <c r="B52" t="s">
        <v>1231</v>
      </c>
      <c r="C52">
        <v>81.5</v>
      </c>
      <c r="D52">
        <v>95.9</v>
      </c>
      <c r="E52">
        <v>-0.3</v>
      </c>
      <c r="F52">
        <v>2</v>
      </c>
      <c r="G52">
        <v>89.4</v>
      </c>
      <c r="H52">
        <f>AVERAGE(C52,D52)</f>
        <v>88.7</v>
      </c>
    </row>
    <row r="53" spans="1:8">
      <c r="A53" t="s">
        <v>251</v>
      </c>
      <c r="B53" t="s">
        <v>1231</v>
      </c>
      <c r="C53">
        <v>87</v>
      </c>
      <c r="D53">
        <v>89.8</v>
      </c>
      <c r="E53">
        <v>-6.3</v>
      </c>
      <c r="F53">
        <v>3</v>
      </c>
      <c r="G53">
        <v>64.9</v>
      </c>
      <c r="H53">
        <f>AVERAGE(C53,D53)</f>
        <v>88.4</v>
      </c>
    </row>
    <row r="54" spans="1:8">
      <c r="A54" t="s">
        <v>278</v>
      </c>
      <c r="B54" t="s">
        <v>1231</v>
      </c>
      <c r="C54">
        <v>77.2</v>
      </c>
      <c r="D54">
        <v>99.4</v>
      </c>
      <c r="E54">
        <v>0.9</v>
      </c>
      <c r="F54">
        <v>3</v>
      </c>
      <c r="G54">
        <v>92</v>
      </c>
      <c r="H54">
        <f>AVERAGE(C54,D54)</f>
        <v>88.3</v>
      </c>
    </row>
    <row r="55" spans="1:8">
      <c r="A55" t="s">
        <v>242</v>
      </c>
      <c r="B55" t="s">
        <v>1229</v>
      </c>
      <c r="C55">
        <v>92.1</v>
      </c>
      <c r="D55">
        <v>84.5</v>
      </c>
      <c r="E55">
        <v>0.1</v>
      </c>
      <c r="F55">
        <v>2</v>
      </c>
      <c r="G55">
        <v>85.8</v>
      </c>
      <c r="H55">
        <f>AVERAGE(C55,D55)</f>
        <v>88.3</v>
      </c>
    </row>
    <row r="56" spans="1:8">
      <c r="A56" t="s">
        <v>266</v>
      </c>
      <c r="B56" t="s">
        <v>1231</v>
      </c>
      <c r="C56">
        <v>80.1</v>
      </c>
      <c r="D56">
        <v>96.3</v>
      </c>
      <c r="E56">
        <v>9.6</v>
      </c>
      <c r="F56">
        <v>3</v>
      </c>
      <c r="G56">
        <v>94.3</v>
      </c>
      <c r="H56">
        <f>AVERAGE(C56,D56)</f>
        <v>88.2</v>
      </c>
    </row>
    <row r="57" spans="1:8">
      <c r="A57" t="s">
        <v>268</v>
      </c>
      <c r="B57" t="s">
        <v>1231</v>
      </c>
      <c r="C57">
        <v>89.5</v>
      </c>
      <c r="D57">
        <v>86.7</v>
      </c>
      <c r="E57">
        <v>-0.6</v>
      </c>
      <c r="F57">
        <v>2</v>
      </c>
      <c r="G57">
        <v>68.7</v>
      </c>
      <c r="H57">
        <f>AVERAGE(C57,D57)</f>
        <v>88.1</v>
      </c>
    </row>
    <row r="58" spans="1:8">
      <c r="A58" t="s">
        <v>276</v>
      </c>
      <c r="B58" t="s">
        <v>1230</v>
      </c>
      <c r="C58">
        <v>84.8</v>
      </c>
      <c r="D58">
        <v>91.4</v>
      </c>
      <c r="E58">
        <v>12.5</v>
      </c>
      <c r="F58">
        <v>2</v>
      </c>
      <c r="G58">
        <v>84</v>
      </c>
      <c r="H58">
        <f>AVERAGE(C58,D58)</f>
        <v>88.1</v>
      </c>
    </row>
    <row r="59" spans="1:8">
      <c r="A59" t="s">
        <v>286</v>
      </c>
      <c r="B59" t="s">
        <v>1229</v>
      </c>
      <c r="C59">
        <v>82.9</v>
      </c>
      <c r="D59">
        <v>92.6</v>
      </c>
      <c r="E59">
        <v>5.2</v>
      </c>
      <c r="F59">
        <v>2</v>
      </c>
      <c r="G59">
        <v>89.7</v>
      </c>
      <c r="H59">
        <f>AVERAGE(C59,D59)</f>
        <v>87.75</v>
      </c>
    </row>
    <row r="60" spans="1:8">
      <c r="A60" t="s">
        <v>268</v>
      </c>
      <c r="B60" t="s">
        <v>1230</v>
      </c>
      <c r="C60">
        <v>77.4</v>
      </c>
      <c r="D60">
        <v>96.5</v>
      </c>
      <c r="E60">
        <v>3</v>
      </c>
      <c r="F60">
        <v>2</v>
      </c>
      <c r="G60">
        <v>97.5</v>
      </c>
      <c r="H60">
        <f>AVERAGE(C60,D60)</f>
        <v>86.95</v>
      </c>
    </row>
    <row r="61" spans="1:8">
      <c r="A61" t="s">
        <v>278</v>
      </c>
      <c r="B61" t="s">
        <v>1230</v>
      </c>
      <c r="C61">
        <v>82.4</v>
      </c>
      <c r="D61">
        <v>91.2</v>
      </c>
      <c r="E61">
        <v>3.4</v>
      </c>
      <c r="F61">
        <v>3</v>
      </c>
      <c r="G61">
        <v>100</v>
      </c>
      <c r="H61">
        <f>AVERAGE(C61,D61)</f>
        <v>86.8</v>
      </c>
    </row>
    <row r="62" spans="1:8">
      <c r="A62" t="s">
        <v>251</v>
      </c>
      <c r="B62" t="s">
        <v>1229</v>
      </c>
      <c r="C62">
        <v>78.5</v>
      </c>
      <c r="D62">
        <v>93.9</v>
      </c>
      <c r="E62">
        <v>-16.4</v>
      </c>
      <c r="F62">
        <v>2</v>
      </c>
      <c r="G62">
        <v>92.6</v>
      </c>
      <c r="H62">
        <f>AVERAGE(C62,D62)</f>
        <v>86.2</v>
      </c>
    </row>
    <row r="63" spans="1:8">
      <c r="A63" t="s">
        <v>251</v>
      </c>
      <c r="B63" t="s">
        <v>1228</v>
      </c>
      <c r="C63">
        <v>77.8</v>
      </c>
      <c r="D63">
        <v>94.4</v>
      </c>
      <c r="E63">
        <v>3.7</v>
      </c>
      <c r="F63">
        <v>3</v>
      </c>
      <c r="G63">
        <v>85</v>
      </c>
      <c r="H63">
        <f>AVERAGE(C63,D63)</f>
        <v>86.1</v>
      </c>
    </row>
    <row r="64" spans="1:8">
      <c r="A64" t="s">
        <v>261</v>
      </c>
      <c r="B64" t="s">
        <v>1229</v>
      </c>
      <c r="C64">
        <v>79.6</v>
      </c>
      <c r="D64">
        <v>90.5</v>
      </c>
      <c r="E64">
        <v>15.8</v>
      </c>
      <c r="F64">
        <v>3</v>
      </c>
      <c r="G64">
        <v>67.4</v>
      </c>
      <c r="H64">
        <f>AVERAGE(C64,D64)</f>
        <v>85.05</v>
      </c>
    </row>
    <row r="65" spans="1:8">
      <c r="A65" t="s">
        <v>242</v>
      </c>
      <c r="B65" t="s">
        <v>1231</v>
      </c>
      <c r="C65">
        <v>82.7</v>
      </c>
      <c r="D65">
        <v>87.3</v>
      </c>
      <c r="E65">
        <v>-0.7</v>
      </c>
      <c r="F65">
        <v>3</v>
      </c>
      <c r="G65">
        <v>94.1</v>
      </c>
      <c r="H65">
        <f>AVERAGE(C65,D65)</f>
        <v>85</v>
      </c>
    </row>
    <row r="66" spans="1:8">
      <c r="A66" t="s">
        <v>236</v>
      </c>
      <c r="B66" t="s">
        <v>1231</v>
      </c>
      <c r="C66">
        <v>75</v>
      </c>
      <c r="D66">
        <v>94.5</v>
      </c>
      <c r="E66">
        <v>-4.2</v>
      </c>
      <c r="F66">
        <v>4</v>
      </c>
      <c r="G66">
        <v>85.3</v>
      </c>
      <c r="H66">
        <f>AVERAGE(C66,D66)</f>
        <v>84.75</v>
      </c>
    </row>
    <row r="67" spans="1:8">
      <c r="A67" t="s">
        <v>286</v>
      </c>
      <c r="B67" t="s">
        <v>1231</v>
      </c>
      <c r="C67">
        <v>82.4</v>
      </c>
      <c r="D67">
        <v>86.8</v>
      </c>
      <c r="E67">
        <v>1.6</v>
      </c>
      <c r="F67">
        <v>3</v>
      </c>
      <c r="G67">
        <v>87.9</v>
      </c>
      <c r="H67">
        <f>AVERAGE(C67,D67)</f>
        <v>84.6</v>
      </c>
    </row>
    <row r="68" spans="1:8">
      <c r="A68" t="s">
        <v>282</v>
      </c>
      <c r="B68" t="s">
        <v>1231</v>
      </c>
      <c r="C68">
        <v>70.5</v>
      </c>
      <c r="D68">
        <v>98.3</v>
      </c>
      <c r="E68">
        <v>-14.6</v>
      </c>
      <c r="F68">
        <v>4</v>
      </c>
      <c r="G68">
        <v>77.2</v>
      </c>
      <c r="H68">
        <f>AVERAGE(C68,D68)</f>
        <v>84.4</v>
      </c>
    </row>
    <row r="69" spans="1:8">
      <c r="A69" t="s">
        <v>251</v>
      </c>
      <c r="B69" t="s">
        <v>1230</v>
      </c>
      <c r="C69">
        <v>76.4</v>
      </c>
      <c r="D69">
        <v>90.9</v>
      </c>
      <c r="E69">
        <v>9.7</v>
      </c>
      <c r="F69">
        <v>4</v>
      </c>
      <c r="G69">
        <v>72.5</v>
      </c>
      <c r="H69">
        <f>AVERAGE(C69,D69)</f>
        <v>83.65</v>
      </c>
    </row>
    <row r="70" spans="1:8">
      <c r="A70" t="s">
        <v>255</v>
      </c>
      <c r="B70" t="s">
        <v>1230</v>
      </c>
      <c r="C70">
        <v>73.4</v>
      </c>
      <c r="D70">
        <v>92.9</v>
      </c>
      <c r="E70">
        <v>-7</v>
      </c>
      <c r="F70">
        <v>2</v>
      </c>
      <c r="G70">
        <v>100</v>
      </c>
      <c r="H70">
        <f>AVERAGE(C70,D70)</f>
        <v>83.15</v>
      </c>
    </row>
    <row r="71" spans="1:8">
      <c r="A71" t="s">
        <v>268</v>
      </c>
      <c r="B71" t="s">
        <v>1228</v>
      </c>
      <c r="C71">
        <v>76.9</v>
      </c>
      <c r="D71">
        <v>88</v>
      </c>
      <c r="E71">
        <v>-4.4</v>
      </c>
      <c r="F71">
        <v>3</v>
      </c>
      <c r="G71">
        <v>97.1</v>
      </c>
      <c r="H71">
        <f>AVERAGE(C71,D71)</f>
        <v>82.45</v>
      </c>
    </row>
    <row r="72" spans="1:8">
      <c r="A72" t="s">
        <v>282</v>
      </c>
      <c r="B72" t="s">
        <v>1228</v>
      </c>
      <c r="C72">
        <v>74.1</v>
      </c>
      <c r="D72">
        <v>90.3</v>
      </c>
      <c r="E72">
        <v>-11.8</v>
      </c>
      <c r="F72">
        <v>2</v>
      </c>
      <c r="G72">
        <v>84.8</v>
      </c>
      <c r="H72">
        <f>AVERAGE(C72,D72)</f>
        <v>82.2</v>
      </c>
    </row>
    <row r="73" spans="1:8">
      <c r="A73" t="s">
        <v>276</v>
      </c>
      <c r="B73" t="s">
        <v>1229</v>
      </c>
      <c r="C73">
        <v>66.9</v>
      </c>
      <c r="D73">
        <v>97.3</v>
      </c>
      <c r="E73">
        <v>0.5</v>
      </c>
      <c r="F73">
        <v>5</v>
      </c>
      <c r="G73">
        <v>99</v>
      </c>
      <c r="H73">
        <f>AVERAGE(C73,D73)</f>
        <v>82.1</v>
      </c>
    </row>
    <row r="74" spans="1:8">
      <c r="A74" t="s">
        <v>272</v>
      </c>
      <c r="B74" t="s">
        <v>1230</v>
      </c>
      <c r="C74">
        <v>75.2</v>
      </c>
      <c r="D74">
        <v>88.4</v>
      </c>
      <c r="E74">
        <v>-9.1</v>
      </c>
      <c r="F74">
        <v>2</v>
      </c>
      <c r="G74">
        <v>82</v>
      </c>
      <c r="H74">
        <f>AVERAGE(C74,D74)</f>
        <v>81.8</v>
      </c>
    </row>
    <row r="75" spans="1:8">
      <c r="A75" t="s">
        <v>282</v>
      </c>
      <c r="B75" t="s">
        <v>1230</v>
      </c>
      <c r="C75">
        <v>65.5</v>
      </c>
      <c r="D75">
        <v>95.2</v>
      </c>
      <c r="E75">
        <v>4.3</v>
      </c>
      <c r="F75">
        <v>2</v>
      </c>
      <c r="G75">
        <v>68.8</v>
      </c>
      <c r="H75">
        <f>AVERAGE(C75,D75)</f>
        <v>80.35</v>
      </c>
    </row>
    <row r="76" spans="1:8">
      <c r="A76" t="s">
        <v>286</v>
      </c>
      <c r="B76" t="s">
        <v>1228</v>
      </c>
      <c r="C76">
        <v>72.5</v>
      </c>
      <c r="D76">
        <v>87.7</v>
      </c>
      <c r="E76">
        <v>-14.1</v>
      </c>
      <c r="F76">
        <v>2</v>
      </c>
      <c r="G76">
        <v>100</v>
      </c>
      <c r="H76">
        <f>AVERAGE(C76,D76)</f>
        <v>80.1</v>
      </c>
    </row>
    <row r="77" spans="1:8">
      <c r="A77" t="s">
        <v>284</v>
      </c>
      <c r="B77" t="s">
        <v>1230</v>
      </c>
      <c r="C77">
        <v>72.9</v>
      </c>
      <c r="D77">
        <v>86.6</v>
      </c>
      <c r="E77">
        <v>-8.3</v>
      </c>
      <c r="F77">
        <v>2</v>
      </c>
      <c r="G77">
        <v>87.5</v>
      </c>
      <c r="H77">
        <f>AVERAGE(C77,D77)</f>
        <v>79.75</v>
      </c>
    </row>
    <row r="78" spans="1:8">
      <c r="A78" t="s">
        <v>263</v>
      </c>
      <c r="B78" t="s">
        <v>1231</v>
      </c>
      <c r="C78">
        <v>66.3</v>
      </c>
      <c r="D78">
        <v>90.7</v>
      </c>
      <c r="E78">
        <v>-3.9</v>
      </c>
      <c r="F78">
        <v>3</v>
      </c>
      <c r="G78">
        <v>72.7</v>
      </c>
      <c r="H78">
        <f>AVERAGE(C78,D78)</f>
        <v>78.5</v>
      </c>
    </row>
    <row r="79" spans="1:8">
      <c r="A79" t="s">
        <v>282</v>
      </c>
      <c r="B79" t="s">
        <v>1229</v>
      </c>
      <c r="C79">
        <v>67.1</v>
      </c>
      <c r="D79">
        <v>85.8</v>
      </c>
      <c r="E79">
        <v>3.3</v>
      </c>
      <c r="F79">
        <v>1</v>
      </c>
      <c r="G79">
        <v>86.5</v>
      </c>
      <c r="H79">
        <f>AVERAGE(C79,D79)</f>
        <v>76.45</v>
      </c>
    </row>
    <row r="80" spans="1:8">
      <c r="A80" t="s">
        <v>266</v>
      </c>
      <c r="B80" t="s">
        <v>1230</v>
      </c>
      <c r="C80">
        <v>57.2</v>
      </c>
      <c r="D80">
        <v>94.1</v>
      </c>
      <c r="E80">
        <v>-14.3</v>
      </c>
      <c r="F80">
        <v>4</v>
      </c>
      <c r="G80">
        <v>100</v>
      </c>
      <c r="H80">
        <f>AVERAGE(C80,D80)</f>
        <v>75.65</v>
      </c>
    </row>
    <row r="81" spans="1:8">
      <c r="A81" t="s">
        <v>266</v>
      </c>
      <c r="B81" t="s">
        <v>1229</v>
      </c>
      <c r="C81">
        <v>58.3</v>
      </c>
      <c r="D81">
        <v>90.8</v>
      </c>
      <c r="E81">
        <v>-1</v>
      </c>
      <c r="F81">
        <v>2</v>
      </c>
      <c r="G81">
        <v>95.7</v>
      </c>
      <c r="H81">
        <f>AVERAGE(C81,D81)</f>
        <v>74.55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2" sqref="A2:A21"/>
    </sheetView>
  </sheetViews>
  <sheetFormatPr defaultColWidth="8.72727272727273" defaultRowHeight="14.5" outlineLevelCol="6"/>
  <sheetData>
    <row r="1" spans="1:7">
      <c r="A1" t="s">
        <v>25</v>
      </c>
      <c r="B1" t="s">
        <v>1232</v>
      </c>
      <c r="C1" t="s">
        <v>1233</v>
      </c>
      <c r="D1" t="s">
        <v>1234</v>
      </c>
      <c r="F1" t="s">
        <v>1233</v>
      </c>
      <c r="G1" t="s">
        <v>1234</v>
      </c>
    </row>
    <row r="2" spans="1:7">
      <c r="A2" t="s">
        <v>247</v>
      </c>
      <c r="B2">
        <f>AVERAGEIF(SupplierPerformance!A:A,SupplierPerformance!A7,SupplierPerformance!H:H)</f>
        <v>94.9</v>
      </c>
      <c r="C2" t="str">
        <f>IF(B2&gt;=95,"High",IF(B2&gt;=90,"Medium","Low"))</f>
        <v>Medium</v>
      </c>
      <c r="F2" t="s">
        <v>254</v>
      </c>
      <c r="G2">
        <f>COUNTIF(C2:C21,F2)</f>
        <v>0</v>
      </c>
    </row>
    <row r="3" spans="1:7">
      <c r="A3" t="s">
        <v>286</v>
      </c>
      <c r="B3">
        <f>AVERAGEIF(SupplierPerformance!A:A,SupplierPerformance!A13,SupplierPerformance!H:H)</f>
        <v>94.9</v>
      </c>
      <c r="C3" t="str">
        <f t="shared" ref="C3:C21" si="0">IF(B3&gt;=95,"High",IF(B3&gt;=90,"Medium","Low"))</f>
        <v>Medium</v>
      </c>
      <c r="F3" t="s">
        <v>246</v>
      </c>
      <c r="G3">
        <f>COUNTIF(C2:C21,F3)</f>
        <v>18</v>
      </c>
    </row>
    <row r="4" spans="1:7">
      <c r="A4" t="s">
        <v>257</v>
      </c>
      <c r="B4">
        <f>AVERAGEIF(SupplierPerformance!A:A,SupplierPerformance!A8,SupplierPerformance!H:H)</f>
        <v>94.8375</v>
      </c>
      <c r="C4" t="str">
        <f t="shared" si="0"/>
        <v>Medium</v>
      </c>
      <c r="F4" t="s">
        <v>241</v>
      </c>
      <c r="G4">
        <f>COUNTIF(C2:C21,F4)</f>
        <v>2</v>
      </c>
    </row>
    <row r="5" spans="1:3">
      <c r="A5" t="s">
        <v>278</v>
      </c>
      <c r="B5">
        <f>AVERAGEIF(SupplierPerformance!A:A,SupplierPerformance!A16,SupplierPerformance!H:H)</f>
        <v>94.8375</v>
      </c>
      <c r="C5" t="str">
        <f t="shared" si="0"/>
        <v>Medium</v>
      </c>
    </row>
    <row r="6" spans="1:3">
      <c r="A6" t="s">
        <v>236</v>
      </c>
      <c r="B6">
        <f>AVERAGEIF(SupplierPerformance!A:A,SupplierPerformance!A18,SupplierPerformance!H:H)</f>
        <v>94.8375</v>
      </c>
      <c r="C6" t="str">
        <f t="shared" si="0"/>
        <v>Medium</v>
      </c>
    </row>
    <row r="7" spans="1:3">
      <c r="A7" t="s">
        <v>274</v>
      </c>
      <c r="B7">
        <f>AVERAGEIF(SupplierPerformance!A:A,SupplierPerformance!A9,SupplierPerformance!H:H)</f>
        <v>94.0375</v>
      </c>
      <c r="C7" t="str">
        <f t="shared" si="0"/>
        <v>Medium</v>
      </c>
    </row>
    <row r="8" spans="1:3">
      <c r="A8" t="s">
        <v>284</v>
      </c>
      <c r="B8">
        <f>AVERAGEIF(SupplierPerformance!A:A,SupplierPerformance!A15,SupplierPerformance!H:H)</f>
        <v>94.0375</v>
      </c>
      <c r="C8" t="str">
        <f t="shared" si="0"/>
        <v>Medium</v>
      </c>
    </row>
    <row r="9" spans="1:3">
      <c r="A9" t="s">
        <v>261</v>
      </c>
      <c r="B9">
        <f>AVERAGEIF(SupplierPerformance!A:A,SupplierPerformance!A10,SupplierPerformance!H:H)</f>
        <v>93.0875</v>
      </c>
      <c r="C9" t="str">
        <f t="shared" si="0"/>
        <v>Medium</v>
      </c>
    </row>
    <row r="10" spans="1:3">
      <c r="A10" t="s">
        <v>255</v>
      </c>
      <c r="B10">
        <f>AVERAGEIF(SupplierPerformance!A:A,SupplierPerformance!A11,SupplierPerformance!H:H)</f>
        <v>93.0875</v>
      </c>
      <c r="C10" t="str">
        <f t="shared" si="0"/>
        <v>Medium</v>
      </c>
    </row>
    <row r="11" spans="1:3">
      <c r="A11" t="s">
        <v>251</v>
      </c>
      <c r="B11">
        <f>AVERAGEIF(SupplierPerformance!A:A,SupplierPerformance!A20,SupplierPerformance!H:H)</f>
        <v>93.0125</v>
      </c>
      <c r="C11" t="str">
        <f t="shared" si="0"/>
        <v>Medium</v>
      </c>
    </row>
    <row r="12" spans="1:3">
      <c r="A12" t="s">
        <v>270</v>
      </c>
      <c r="B12">
        <f>AVERAGEIF(SupplierPerformance!A:A,SupplierPerformance!A6,SupplierPerformance!H:H)</f>
        <v>92.85</v>
      </c>
      <c r="C12" t="str">
        <f t="shared" si="0"/>
        <v>Medium</v>
      </c>
    </row>
    <row r="13" spans="1:3">
      <c r="A13" t="s">
        <v>268</v>
      </c>
      <c r="B13">
        <f>AVERAGEIF(SupplierPerformance!A:A,SupplierPerformance!A17,SupplierPerformance!H:H)</f>
        <v>92.65</v>
      </c>
      <c r="C13" t="str">
        <f t="shared" si="0"/>
        <v>Medium</v>
      </c>
    </row>
    <row r="14" spans="1:3">
      <c r="A14" t="s">
        <v>263</v>
      </c>
      <c r="B14">
        <f>AVERAGEIF(SupplierPerformance!A:A,SupplierPerformance!A3,SupplierPerformance!H:H)</f>
        <v>91.825</v>
      </c>
      <c r="C14" t="str">
        <f t="shared" si="0"/>
        <v>Medium</v>
      </c>
    </row>
    <row r="15" spans="1:3">
      <c r="A15" t="s">
        <v>280</v>
      </c>
      <c r="B15">
        <f>AVERAGEIF(SupplierPerformance!A:A,SupplierPerformance!A12,SupplierPerformance!H:H)</f>
        <v>91.825</v>
      </c>
      <c r="C15" t="str">
        <f t="shared" si="0"/>
        <v>Medium</v>
      </c>
    </row>
    <row r="16" spans="1:3">
      <c r="A16" t="s">
        <v>272</v>
      </c>
      <c r="B16">
        <f>AVERAGEIF(SupplierPerformance!A:A,SupplierPerformance!A5,SupplierPerformance!H:H)</f>
        <v>91.3</v>
      </c>
      <c r="C16" t="str">
        <f t="shared" si="0"/>
        <v>Medium</v>
      </c>
    </row>
    <row r="17" spans="1:3">
      <c r="A17" t="s">
        <v>242</v>
      </c>
      <c r="B17">
        <f>AVERAGEIF(SupplierPerformance!A:A,SupplierPerformance!A4,SupplierPerformance!H:H)</f>
        <v>90.925</v>
      </c>
      <c r="C17" t="str">
        <f t="shared" si="0"/>
        <v>Medium</v>
      </c>
    </row>
    <row r="18" spans="1:3">
      <c r="A18" t="s">
        <v>259</v>
      </c>
      <c r="B18">
        <f>AVERAGEIF(SupplierPerformance!A:A,SupplierPerformance!A14,SupplierPerformance!H:H)</f>
        <v>90.425</v>
      </c>
      <c r="C18" t="str">
        <f t="shared" si="0"/>
        <v>Medium</v>
      </c>
    </row>
    <row r="19" spans="1:3">
      <c r="A19" t="s">
        <v>282</v>
      </c>
      <c r="B19">
        <f>AVERAGEIF(SupplierPerformance!A:A,SupplierPerformance!A21,SupplierPerformance!H:H)</f>
        <v>90</v>
      </c>
      <c r="C19" t="str">
        <f t="shared" si="0"/>
        <v>Medium</v>
      </c>
    </row>
    <row r="20" spans="1:3">
      <c r="A20" t="s">
        <v>276</v>
      </c>
      <c r="B20">
        <f>AVERAGEIF(SupplierPerformance!A:A,SupplierPerformance!A2,SupplierPerformance!H:H)</f>
        <v>89.725</v>
      </c>
      <c r="C20" t="str">
        <f t="shared" si="0"/>
        <v>Low</v>
      </c>
    </row>
    <row r="21" spans="1:3">
      <c r="A21" t="s">
        <v>266</v>
      </c>
      <c r="B21">
        <f>AVERAGEIF(SupplierPerformance!A:A,SupplierPerformance!A19,SupplierPerformance!H:H)</f>
        <v>86.825</v>
      </c>
      <c r="C21" t="str">
        <f t="shared" si="0"/>
        <v>Low</v>
      </c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I1" sqref="I1"/>
    </sheetView>
  </sheetViews>
  <sheetFormatPr defaultColWidth="8.72727272727273" defaultRowHeight="14.5" outlineLevelCol="4"/>
  <cols>
    <col min="4" max="4" width="12.8181818181818" style="5"/>
    <col min="5" max="5" width="12.8181818181818" style="6"/>
  </cols>
  <sheetData>
    <row r="1" spans="1:5">
      <c r="A1" t="s">
        <v>25</v>
      </c>
      <c r="B1" t="s">
        <v>1235</v>
      </c>
      <c r="C1" t="s">
        <v>1236</v>
      </c>
      <c r="D1" s="5" t="s">
        <v>1237</v>
      </c>
      <c r="E1" s="6" t="s">
        <v>1238</v>
      </c>
    </row>
    <row r="2" spans="1:5">
      <c r="A2" t="s">
        <v>278</v>
      </c>
      <c r="B2">
        <f>COUNTIFS(PurchaseOrders!$B:$B,A2,PurchaseOrders!$L:$L,"Late")</f>
        <v>11</v>
      </c>
      <c r="C2">
        <f>COUNTIFS(PurchaseOrders!$B:$B,A2,PurchaseOrders!$J:$J,"&gt;0")</f>
        <v>19</v>
      </c>
      <c r="D2" s="5">
        <f>IFERROR(AVERAGEIFS(PurchaseOrders!$M:$M,PurchaseOrders!$B:$B,A2),"")</f>
        <v>15.5263157894737</v>
      </c>
      <c r="E2" s="6">
        <f>IFERROR((C2-B2)/C2,0)</f>
        <v>0.421052631578947</v>
      </c>
    </row>
    <row r="3" spans="1:5">
      <c r="A3" t="s">
        <v>270</v>
      </c>
      <c r="B3">
        <f>COUNTIFS(PurchaseOrders!$B:$B,A3,PurchaseOrders!$L:$L,"Late")</f>
        <v>11</v>
      </c>
      <c r="C3">
        <f>COUNTIFS(PurchaseOrders!$B:$B,A3,PurchaseOrders!$J:$J,"&gt;0")</f>
        <v>17</v>
      </c>
      <c r="D3" s="5">
        <f>IFERROR(AVERAGEIFS(PurchaseOrders!$M:$M,PurchaseOrders!$B:$B,A3),"")</f>
        <v>14.8823529411765</v>
      </c>
      <c r="E3" s="6">
        <f>IFERROR((C3-B3)/C3,0)</f>
        <v>0.352941176470588</v>
      </c>
    </row>
    <row r="4" spans="1:5">
      <c r="A4" t="s">
        <v>280</v>
      </c>
      <c r="B4">
        <f>COUNTIFS(PurchaseOrders!$B:$B,A4,PurchaseOrders!$L:$L,"Late")</f>
        <v>10</v>
      </c>
      <c r="C4">
        <f>COUNTIFS(PurchaseOrders!$B:$B,A4,PurchaseOrders!$J:$J,"&gt;0")</f>
        <v>13</v>
      </c>
      <c r="D4" s="5">
        <f>IFERROR(AVERAGEIFS(PurchaseOrders!$M:$M,PurchaseOrders!$B:$B,A4),"")</f>
        <v>21.5384615384615</v>
      </c>
      <c r="E4" s="6">
        <f>IFERROR((C4-B4)/C4,0)</f>
        <v>0.230769230769231</v>
      </c>
    </row>
    <row r="5" spans="1:5">
      <c r="A5" t="s">
        <v>242</v>
      </c>
      <c r="B5">
        <f>COUNTIFS(PurchaseOrders!$B:$B,A5,PurchaseOrders!$L:$L,"Late")</f>
        <v>9</v>
      </c>
      <c r="C5">
        <f>COUNTIFS(PurchaseOrders!$B:$B,A5,PurchaseOrders!$J:$J,"&gt;0")</f>
        <v>11</v>
      </c>
      <c r="D5" s="5">
        <f>IFERROR(AVERAGEIFS(PurchaseOrders!$M:$M,PurchaseOrders!$B:$B,A5),"")</f>
        <v>26.0909090909091</v>
      </c>
      <c r="E5" s="6">
        <f>IFERROR((C5-B5)/C5,0)</f>
        <v>0.181818181818182</v>
      </c>
    </row>
    <row r="6" spans="1:5">
      <c r="A6" t="s">
        <v>259</v>
      </c>
      <c r="B6">
        <f>COUNTIFS(PurchaseOrders!$B:$B,A6,PurchaseOrders!$L:$L,"Late")</f>
        <v>9</v>
      </c>
      <c r="C6">
        <f>COUNTIFS(PurchaseOrders!$B:$B,A6,PurchaseOrders!$J:$J,"&gt;0")</f>
        <v>15</v>
      </c>
      <c r="D6" s="5">
        <f>IFERROR(AVERAGEIFS(PurchaseOrders!$M:$M,PurchaseOrders!$B:$B,A6),"")</f>
        <v>16.8</v>
      </c>
      <c r="E6" s="6">
        <f>IFERROR((C6-B6)/C6,0)</f>
        <v>0.4</v>
      </c>
    </row>
    <row r="7" spans="1:5">
      <c r="A7" t="s">
        <v>266</v>
      </c>
      <c r="B7">
        <f>COUNTIFS(PurchaseOrders!$B:$B,A7,PurchaseOrders!$L:$L,"Late")</f>
        <v>9</v>
      </c>
      <c r="C7">
        <f>COUNTIFS(PurchaseOrders!$B:$B,A7,PurchaseOrders!$J:$J,"&gt;0")</f>
        <v>16</v>
      </c>
      <c r="D7" s="5">
        <f>IFERROR(AVERAGEIFS(PurchaseOrders!$M:$M,PurchaseOrders!$B:$B,A7),"")</f>
        <v>19.3125</v>
      </c>
      <c r="E7" s="6">
        <f>IFERROR((C7-B7)/C7,0)</f>
        <v>0.4375</v>
      </c>
    </row>
    <row r="8" spans="1:5">
      <c r="A8" t="s">
        <v>286</v>
      </c>
      <c r="B8">
        <f>COUNTIFS(PurchaseOrders!$B:$B,A8,PurchaseOrders!$L:$L,"Late")</f>
        <v>8</v>
      </c>
      <c r="C8">
        <f>COUNTIFS(PurchaseOrders!$B:$B,A8,PurchaseOrders!$J:$J,"&gt;0")</f>
        <v>19</v>
      </c>
      <c r="D8" s="5">
        <f>IFERROR(AVERAGEIFS(PurchaseOrders!$M:$M,PurchaseOrders!$B:$B,A8),"")</f>
        <v>18.7894736842105</v>
      </c>
      <c r="E8" s="6">
        <f>IFERROR((C8-B8)/C8,0)</f>
        <v>0.578947368421053</v>
      </c>
    </row>
    <row r="9" spans="1:5">
      <c r="A9" t="s">
        <v>255</v>
      </c>
      <c r="B9">
        <f>COUNTIFS(PurchaseOrders!$B:$B,A9,PurchaseOrders!$L:$L,"Late")</f>
        <v>8</v>
      </c>
      <c r="C9">
        <f>COUNTIFS(PurchaseOrders!$B:$B,A9,PurchaseOrders!$J:$J,"&gt;0")</f>
        <v>10</v>
      </c>
      <c r="D9" s="5">
        <f>IFERROR(AVERAGEIFS(PurchaseOrders!$M:$M,PurchaseOrders!$B:$B,A9),"")</f>
        <v>20</v>
      </c>
      <c r="E9" s="6">
        <f>IFERROR((C9-B9)/C9,0)</f>
        <v>0.2</v>
      </c>
    </row>
    <row r="10" spans="1:5">
      <c r="A10" t="s">
        <v>261</v>
      </c>
      <c r="B10">
        <f>COUNTIFS(PurchaseOrders!$B:$B,A10,PurchaseOrders!$L:$L,"Late")</f>
        <v>7</v>
      </c>
      <c r="C10">
        <f>COUNTIFS(PurchaseOrders!$B:$B,A10,PurchaseOrders!$J:$J,"&gt;0")</f>
        <v>12</v>
      </c>
      <c r="D10" s="5">
        <f>IFERROR(AVERAGEIFS(PurchaseOrders!$M:$M,PurchaseOrders!$B:$B,A10),"")</f>
        <v>20.1666666666667</v>
      </c>
      <c r="E10" s="6">
        <f>IFERROR((C10-B10)/C10,0)</f>
        <v>0.416666666666667</v>
      </c>
    </row>
    <row r="11" spans="1:5">
      <c r="A11" t="s">
        <v>263</v>
      </c>
      <c r="B11">
        <f>COUNTIFS(PurchaseOrders!$B:$B,A11,PurchaseOrders!$L:$L,"Late")</f>
        <v>7</v>
      </c>
      <c r="C11">
        <f>COUNTIFS(PurchaseOrders!$B:$B,A11,PurchaseOrders!$J:$J,"&gt;0")</f>
        <v>11</v>
      </c>
      <c r="D11" s="5">
        <f>IFERROR(AVERAGEIFS(PurchaseOrders!$M:$M,PurchaseOrders!$B:$B,A11),"")</f>
        <v>8.18181818181818</v>
      </c>
      <c r="E11" s="6">
        <f>IFERROR((C11-B11)/C11,0)</f>
        <v>0.363636363636364</v>
      </c>
    </row>
    <row r="12" spans="1:5">
      <c r="A12" t="s">
        <v>236</v>
      </c>
      <c r="B12">
        <f>COUNTIFS(PurchaseOrders!$B:$B,A12,PurchaseOrders!$L:$L,"Late")</f>
        <v>5</v>
      </c>
      <c r="C12">
        <f>COUNTIFS(PurchaseOrders!$B:$B,A12,PurchaseOrders!$J:$J,"&gt;0")</f>
        <v>16</v>
      </c>
      <c r="D12" s="5">
        <f>IFERROR(AVERAGEIFS(PurchaseOrders!$M:$M,PurchaseOrders!$B:$B,A12),"")</f>
        <v>10.0625</v>
      </c>
      <c r="E12" s="6">
        <f>IFERROR((C12-B12)/C12,0)</f>
        <v>0.6875</v>
      </c>
    </row>
    <row r="13" spans="1:5">
      <c r="A13" t="s">
        <v>284</v>
      </c>
      <c r="B13">
        <f>COUNTIFS(PurchaseOrders!$B:$B,A13,PurchaseOrders!$L:$L,"Late")</f>
        <v>5</v>
      </c>
      <c r="C13">
        <f>COUNTIFS(PurchaseOrders!$B:$B,A13,PurchaseOrders!$J:$J,"&gt;0")</f>
        <v>12</v>
      </c>
      <c r="D13" s="5">
        <f>IFERROR(AVERAGEIFS(PurchaseOrders!$M:$M,PurchaseOrders!$B:$B,A13),"")</f>
        <v>16.4166666666667</v>
      </c>
      <c r="E13" s="6">
        <f>IFERROR((C13-B13)/C13,0)</f>
        <v>0.583333333333333</v>
      </c>
    </row>
    <row r="14" spans="1:5">
      <c r="A14" t="s">
        <v>247</v>
      </c>
      <c r="B14">
        <f>COUNTIFS(PurchaseOrders!$B:$B,A14,PurchaseOrders!$L:$L,"Late")</f>
        <v>4</v>
      </c>
      <c r="C14">
        <f>COUNTIFS(PurchaseOrders!$B:$B,A14,PurchaseOrders!$J:$J,"&gt;0")</f>
        <v>10</v>
      </c>
      <c r="D14" s="5">
        <f>IFERROR(AVERAGEIFS(PurchaseOrders!$M:$M,PurchaseOrders!$B:$B,A14),"")</f>
        <v>21.6</v>
      </c>
      <c r="E14" s="6">
        <f>IFERROR((C14-B14)/C14,0)</f>
        <v>0.6</v>
      </c>
    </row>
    <row r="15" spans="1:5">
      <c r="A15" t="s">
        <v>268</v>
      </c>
      <c r="B15">
        <f>COUNTIFS(PurchaseOrders!$B:$B,A15,PurchaseOrders!$L:$L,"Late")</f>
        <v>4</v>
      </c>
      <c r="C15">
        <f>COUNTIFS(PurchaseOrders!$B:$B,A15,PurchaseOrders!$J:$J,"&gt;0")</f>
        <v>12</v>
      </c>
      <c r="D15" s="5">
        <f>IFERROR(AVERAGEIFS(PurchaseOrders!$M:$M,PurchaseOrders!$B:$B,A15),"")</f>
        <v>17.0833333333333</v>
      </c>
      <c r="E15" s="6">
        <f>IFERROR((C15-B15)/C15,0)</f>
        <v>0.666666666666667</v>
      </c>
    </row>
    <row r="16" spans="1:5">
      <c r="A16" t="s">
        <v>272</v>
      </c>
      <c r="B16">
        <f>COUNTIFS(PurchaseOrders!$B:$B,A16,PurchaseOrders!$L:$L,"Late")</f>
        <v>3</v>
      </c>
      <c r="C16">
        <f>COUNTIFS(PurchaseOrders!$B:$B,A16,PurchaseOrders!$J:$J,"&gt;0")</f>
        <v>9</v>
      </c>
      <c r="D16" s="5">
        <f>IFERROR(AVERAGEIFS(PurchaseOrders!$M:$M,PurchaseOrders!$B:$B,A16),"")</f>
        <v>15.1111111111111</v>
      </c>
      <c r="E16" s="6">
        <f>IFERROR((C16-B16)/C16,0)</f>
        <v>0.666666666666667</v>
      </c>
    </row>
    <row r="17" spans="1:5">
      <c r="A17" t="s">
        <v>282</v>
      </c>
      <c r="B17">
        <f>COUNTIFS(PurchaseOrders!$B:$B,A17,PurchaseOrders!$L:$L,"Late")</f>
        <v>3</v>
      </c>
      <c r="C17">
        <f>COUNTIFS(PurchaseOrders!$B:$B,A17,PurchaseOrders!$J:$J,"&gt;0")</f>
        <v>10</v>
      </c>
      <c r="D17" s="5">
        <f>IFERROR(AVERAGEIFS(PurchaseOrders!$M:$M,PurchaseOrders!$B:$B,A17),"")</f>
        <v>10.3</v>
      </c>
      <c r="E17" s="6">
        <f>IFERROR((C17-B17)/C17,0)</f>
        <v>0.7</v>
      </c>
    </row>
    <row r="18" spans="1:5">
      <c r="A18" t="s">
        <v>251</v>
      </c>
      <c r="B18">
        <f>COUNTIFS(PurchaseOrders!$B:$B,A18,PurchaseOrders!$L:$L,"Late")</f>
        <v>2</v>
      </c>
      <c r="C18">
        <f>COUNTIFS(PurchaseOrders!$B:$B,A18,PurchaseOrders!$J:$J,"&gt;0")</f>
        <v>7</v>
      </c>
      <c r="D18" s="5">
        <f>IFERROR(AVERAGEIFS(PurchaseOrders!$M:$M,PurchaseOrders!$B:$B,A18),"")</f>
        <v>18.7142857142857</v>
      </c>
      <c r="E18" s="6">
        <f>IFERROR((C18-B18)/C18,0)</f>
        <v>0.714285714285714</v>
      </c>
    </row>
    <row r="19" spans="1:5">
      <c r="A19" t="s">
        <v>257</v>
      </c>
      <c r="B19">
        <f>COUNTIFS(PurchaseOrders!$B:$B,A19,PurchaseOrders!$L:$L,"Late")</f>
        <v>1</v>
      </c>
      <c r="C19">
        <f>COUNTIFS(PurchaseOrders!$B:$B,A19,PurchaseOrders!$J:$J,"&gt;0")</f>
        <v>3</v>
      </c>
      <c r="D19" s="5">
        <f>IFERROR(AVERAGEIFS(PurchaseOrders!$M:$M,PurchaseOrders!$B:$B,A19),"")</f>
        <v>12.3333333333333</v>
      </c>
      <c r="E19" s="6">
        <f>IFERROR((C19-B19)/C19,0)</f>
        <v>0.666666666666667</v>
      </c>
    </row>
    <row r="20" spans="1:5">
      <c r="A20" t="s">
        <v>274</v>
      </c>
      <c r="B20">
        <f>COUNTIFS(PurchaseOrders!$B:$B,A20,PurchaseOrders!$L:$L,"Late")</f>
        <v>1</v>
      </c>
      <c r="C20">
        <f>COUNTIFS(PurchaseOrders!$B:$B,A20,PurchaseOrders!$J:$J,"&gt;0")</f>
        <v>4</v>
      </c>
      <c r="D20" s="5">
        <f>IFERROR(AVERAGEIFS(PurchaseOrders!$M:$M,PurchaseOrders!$B:$B,A20),"")</f>
        <v>9.25</v>
      </c>
      <c r="E20" s="6">
        <f>IFERROR((C20-B20)/C20,0)</f>
        <v>0.75</v>
      </c>
    </row>
    <row r="21" spans="1:5">
      <c r="A21" t="s">
        <v>276</v>
      </c>
      <c r="B21">
        <f>COUNTIFS(PurchaseOrders!$B:$B,A21,PurchaseOrders!$L:$L,"Late")</f>
        <v>1</v>
      </c>
      <c r="C21">
        <f>COUNTIFS(PurchaseOrders!$B:$B,A21,PurchaseOrders!$J:$J,"&gt;0")</f>
        <v>3</v>
      </c>
      <c r="D21" s="5">
        <f>IFERROR(AVERAGEIFS(PurchaseOrders!$M:$M,PurchaseOrders!$B:$B,A21),"")</f>
        <v>16</v>
      </c>
      <c r="E21" s="6">
        <f>IFERROR((C21-B21)/C21,0)</f>
        <v>0.666666666666667</v>
      </c>
    </row>
  </sheetData>
  <sortState ref="A2:E21">
    <sortCondition ref="B2:B21" descending="1"/>
  </sortState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opLeftCell="A7" workbookViewId="0">
      <selection activeCell="C19" sqref="C19"/>
    </sheetView>
  </sheetViews>
  <sheetFormatPr defaultColWidth="8.72727272727273" defaultRowHeight="14.5" outlineLevelCol="2"/>
  <cols>
    <col min="2" max="2" width="14.4545454545455"/>
    <col min="3" max="3" width="12.8181818181818" style="3"/>
  </cols>
  <sheetData>
    <row r="1" spans="1:3">
      <c r="A1" t="s">
        <v>25</v>
      </c>
      <c r="B1" t="s">
        <v>1239</v>
      </c>
      <c r="C1" s="3" t="s">
        <v>1240</v>
      </c>
    </row>
    <row r="2" spans="1:3">
      <c r="A2" t="s">
        <v>286</v>
      </c>
      <c r="B2" s="4">
        <f>SUMIF(POLines!$H:$H,A2,POLines!$F:$F)</f>
        <v>379504.4</v>
      </c>
      <c r="C2" s="3">
        <f>IFERROR(B2/SUM($B$2:$B$21),0)</f>
        <v>0.115615736377486</v>
      </c>
    </row>
    <row r="3" spans="1:3">
      <c r="A3" t="s">
        <v>266</v>
      </c>
      <c r="B3" s="4">
        <f>SUMIF(POLines!$H:$H,A3,POLines!$F:$F)</f>
        <v>294220.6</v>
      </c>
      <c r="C3" s="3">
        <f>IFERROR(B3/SUM($B$2:$B$21),0)</f>
        <v>0.0896340894240642</v>
      </c>
    </row>
    <row r="4" spans="1:3">
      <c r="A4" t="s">
        <v>268</v>
      </c>
      <c r="B4" s="4">
        <f>SUMIF(POLines!$H:$H,A4,POLines!$F:$F)</f>
        <v>273316.2</v>
      </c>
      <c r="C4" s="3">
        <f>IFERROR(B4/SUM($B$2:$B$21),0)</f>
        <v>0.0832655793368833</v>
      </c>
    </row>
    <row r="5" spans="1:3">
      <c r="A5" t="s">
        <v>236</v>
      </c>
      <c r="B5" s="4">
        <f>SUMIF(POLines!$H:$H,A5,POLines!$F:$F)</f>
        <v>228020.9</v>
      </c>
      <c r="C5" s="3">
        <f>IFERROR(B5/SUM($B$2:$B$21),0)</f>
        <v>0.0694663995014476</v>
      </c>
    </row>
    <row r="6" spans="1:3">
      <c r="A6" t="s">
        <v>270</v>
      </c>
      <c r="B6" s="4">
        <f>SUMIF(POLines!$H:$H,A6,POLines!$F:$F)</f>
        <v>225246.3</v>
      </c>
      <c r="C6" s="3">
        <f>IFERROR(B6/SUM($B$2:$B$21),0)</f>
        <v>0.0686211196518517</v>
      </c>
    </row>
    <row r="7" spans="1:3">
      <c r="A7" t="s">
        <v>278</v>
      </c>
      <c r="B7" s="4">
        <f>SUMIF(POLines!$H:$H,A7,POLines!$F:$F)</f>
        <v>214714.8</v>
      </c>
      <c r="C7" s="3">
        <f>IFERROR(B7/SUM($B$2:$B$21),0)</f>
        <v>0.0654127059215774</v>
      </c>
    </row>
    <row r="8" spans="1:3">
      <c r="A8" t="s">
        <v>280</v>
      </c>
      <c r="B8" s="4">
        <f>SUMIF(POLines!$H:$H,A8,POLines!$F:$F)</f>
        <v>212611.2</v>
      </c>
      <c r="C8" s="3">
        <f>IFERROR(B8/SUM($B$2:$B$21),0)</f>
        <v>0.064771845728537</v>
      </c>
    </row>
    <row r="9" spans="1:3">
      <c r="A9" t="s">
        <v>247</v>
      </c>
      <c r="B9" s="4">
        <f>SUMIF(POLines!$H:$H,A9,POLines!$F:$F)</f>
        <v>164381.5</v>
      </c>
      <c r="C9" s="3">
        <f>IFERROR(B9/SUM($B$2:$B$21),0)</f>
        <v>0.0500787030910202</v>
      </c>
    </row>
    <row r="10" spans="1:3">
      <c r="A10" t="s">
        <v>259</v>
      </c>
      <c r="B10" s="4">
        <f>SUMIF(POLines!$H:$H,A10,POLines!$F:$F)</f>
        <v>163754.8</v>
      </c>
      <c r="C10" s="3">
        <f>IFERROR(B10/SUM($B$2:$B$21),0)</f>
        <v>0.0498877793968871</v>
      </c>
    </row>
    <row r="11" spans="1:3">
      <c r="A11" t="s">
        <v>242</v>
      </c>
      <c r="B11" s="4">
        <f>SUMIF(POLines!$H:$H,A11,POLines!$F:$F)</f>
        <v>130902.8</v>
      </c>
      <c r="C11" s="3">
        <f>IFERROR(B11/SUM($B$2:$B$21),0)</f>
        <v>0.0398794417558131</v>
      </c>
    </row>
    <row r="12" spans="1:3">
      <c r="A12" t="s">
        <v>272</v>
      </c>
      <c r="B12" s="4">
        <f>SUMIF(POLines!$H:$H,A12,POLines!$F:$F)</f>
        <v>127960.9</v>
      </c>
      <c r="C12" s="3">
        <f>IFERROR(B12/SUM($B$2:$B$21),0)</f>
        <v>0.0389831940842475</v>
      </c>
    </row>
    <row r="13" spans="1:3">
      <c r="A13" t="s">
        <v>263</v>
      </c>
      <c r="B13" s="4">
        <f>SUMIF(POLines!$H:$H,A13,POLines!$F:$F)</f>
        <v>121141.2</v>
      </c>
      <c r="C13" s="3">
        <f>IFERROR(B13/SUM($B$2:$B$21),0)</f>
        <v>0.0369055774943646</v>
      </c>
    </row>
    <row r="14" spans="1:3">
      <c r="A14" t="s">
        <v>251</v>
      </c>
      <c r="B14" s="4">
        <f>SUMIF(POLines!$H:$H,A14,POLines!$F:$F)</f>
        <v>120878.4</v>
      </c>
      <c r="C14" s="3">
        <f>IFERROR(B14/SUM($B$2:$B$21),0)</f>
        <v>0.0368255156676242</v>
      </c>
    </row>
    <row r="15" spans="1:3">
      <c r="A15" t="s">
        <v>276</v>
      </c>
      <c r="B15" s="4">
        <f>SUMIF(POLines!$H:$H,A15,POLines!$F:$F)</f>
        <v>117157</v>
      </c>
      <c r="C15" s="3">
        <f>IFERROR(B15/SUM($B$2:$B$21),0)</f>
        <v>0.0356917938942925</v>
      </c>
    </row>
    <row r="16" spans="1:3">
      <c r="A16" t="s">
        <v>282</v>
      </c>
      <c r="B16" s="4">
        <f>SUMIF(POLines!$H:$H,A16,POLines!$F:$F)</f>
        <v>108921.5</v>
      </c>
      <c r="C16" s="3">
        <f>IFERROR(B16/SUM($B$2:$B$21),0)</f>
        <v>0.0331828548755703</v>
      </c>
    </row>
    <row r="17" spans="1:3">
      <c r="A17" t="s">
        <v>255</v>
      </c>
      <c r="B17" s="4">
        <f>SUMIF(POLines!$H:$H,A17,POLines!$F:$F)</f>
        <v>107294.2</v>
      </c>
      <c r="C17" s="3">
        <f>IFERROR(B17/SUM($B$2:$B$21),0)</f>
        <v>0.0326870991272652</v>
      </c>
    </row>
    <row r="18" spans="1:3">
      <c r="A18" t="s">
        <v>284</v>
      </c>
      <c r="B18" s="4">
        <f>SUMIF(POLines!$H:$H,A18,POLines!$F:$F)</f>
        <v>100400.5</v>
      </c>
      <c r="C18" s="3">
        <f>IFERROR(B18/SUM($B$2:$B$21),0)</f>
        <v>0.0305869384918009</v>
      </c>
    </row>
    <row r="19" spans="1:3">
      <c r="A19" t="s">
        <v>261</v>
      </c>
      <c r="B19" s="4">
        <f>SUMIF(POLines!$H:$H,A19,POLines!$F:$F)</f>
        <v>94551.3</v>
      </c>
      <c r="C19" s="3">
        <f>IFERROR(B19/SUM($B$2:$B$21),0)</f>
        <v>0.0288049840132252</v>
      </c>
    </row>
    <row r="20" spans="1:3">
      <c r="A20" t="s">
        <v>274</v>
      </c>
      <c r="B20" s="4">
        <f>SUMIF(POLines!$H:$H,A20,POLines!$F:$F)</f>
        <v>56159.2</v>
      </c>
      <c r="C20" s="3">
        <f>IFERROR(B20/SUM($B$2:$B$21),0)</f>
        <v>0.0171088589812675</v>
      </c>
    </row>
    <row r="21" spans="1:3">
      <c r="A21" t="s">
        <v>257</v>
      </c>
      <c r="B21" s="4">
        <f>SUMIF(POLines!$H:$H,A21,POLines!$F:$F)</f>
        <v>41325.5</v>
      </c>
      <c r="C21" s="3">
        <f>IFERROR(B21/SUM($B$2:$B$21),0)</f>
        <v>0.0125897831847742</v>
      </c>
    </row>
    <row r="23" spans="1:2">
      <c r="A23" t="s">
        <v>1241</v>
      </c>
      <c r="B23" s="4">
        <f>SUM(B2:B21)</f>
        <v>3282463.2</v>
      </c>
    </row>
  </sheetData>
  <sortState ref="A2:C21">
    <sortCondition ref="B2:B21" descending="1"/>
  </sortState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K2" sqref="K2"/>
    </sheetView>
  </sheetViews>
  <sheetFormatPr defaultColWidth="8.72727272727273" defaultRowHeight="14.5" outlineLevelCol="2"/>
  <sheetData>
    <row r="1" spans="1:3">
      <c r="A1" t="s">
        <v>25</v>
      </c>
      <c r="B1" t="s">
        <v>1242</v>
      </c>
      <c r="C1" t="s">
        <v>1243</v>
      </c>
    </row>
    <row r="2" spans="1:3">
      <c r="A2" t="s">
        <v>286</v>
      </c>
      <c r="B2">
        <f>COUNTIFS(PurchaseOrders!$B:$B,A2,PurchaseOrders!$I:$I,"Urgent Follow-Up")</f>
        <v>5</v>
      </c>
      <c r="C2" t="str">
        <f>IF(B2&gt;=4,"High Priority",IF(B2&gt;=2,"Medium Priority",IF(B2=1,"Low Priority","No Overdue Orders")))</f>
        <v>High Priority</v>
      </c>
    </row>
    <row r="3" spans="1:3">
      <c r="A3" t="s">
        <v>263</v>
      </c>
      <c r="B3">
        <f>COUNTIFS(PurchaseOrders!$B:$B,A3,PurchaseOrders!$I:$I,"Urgent Follow-Up")</f>
        <v>4</v>
      </c>
      <c r="C3" t="str">
        <f t="shared" ref="C3:C21" si="0">IF(B3&gt;=4,"High Priority",IF(B3&gt;=2,"Medium Priority",IF(B3=1,"Low Priority","No Overdue Orders")))</f>
        <v>High Priority</v>
      </c>
    </row>
    <row r="4" spans="1:3">
      <c r="A4" t="s">
        <v>255</v>
      </c>
      <c r="B4">
        <f>COUNTIFS(PurchaseOrders!$B:$B,A4,PurchaseOrders!$I:$I,"Urgent Follow-Up")</f>
        <v>3</v>
      </c>
      <c r="C4" t="str">
        <f t="shared" si="0"/>
        <v>Medium Priority</v>
      </c>
    </row>
    <row r="5" spans="1:3">
      <c r="A5" t="s">
        <v>272</v>
      </c>
      <c r="B5">
        <f>COUNTIFS(PurchaseOrders!$B:$B,A5,PurchaseOrders!$I:$I,"Urgent Follow-Up")</f>
        <v>3</v>
      </c>
      <c r="C5" t="str">
        <f t="shared" si="0"/>
        <v>Medium Priority</v>
      </c>
    </row>
    <row r="6" spans="1:3">
      <c r="A6" t="s">
        <v>242</v>
      </c>
      <c r="B6">
        <f>COUNTIFS(PurchaseOrders!$B:$B,A6,PurchaseOrders!$I:$I,"Urgent Follow-Up")</f>
        <v>3</v>
      </c>
      <c r="C6" t="str">
        <f t="shared" si="0"/>
        <v>Medium Priority</v>
      </c>
    </row>
    <row r="7" spans="1:3">
      <c r="A7" t="s">
        <v>282</v>
      </c>
      <c r="B7">
        <f>COUNTIFS(PurchaseOrders!$B:$B,A7,PurchaseOrders!$I:$I,"Urgent Follow-Up")</f>
        <v>3</v>
      </c>
      <c r="C7" t="str">
        <f t="shared" si="0"/>
        <v>Medium Priority</v>
      </c>
    </row>
    <row r="8" spans="1:3">
      <c r="A8" t="s">
        <v>266</v>
      </c>
      <c r="B8">
        <f>COUNTIFS(PurchaseOrders!$B:$B,A8,PurchaseOrders!$I:$I,"Urgent Follow-Up")</f>
        <v>3</v>
      </c>
      <c r="C8" t="str">
        <f t="shared" si="0"/>
        <v>Medium Priority</v>
      </c>
    </row>
    <row r="9" spans="1:3">
      <c r="A9" t="s">
        <v>278</v>
      </c>
      <c r="B9">
        <f>COUNTIFS(PurchaseOrders!$B:$B,A9,PurchaseOrders!$I:$I,"Urgent Follow-Up")</f>
        <v>2</v>
      </c>
      <c r="C9" t="str">
        <f t="shared" si="0"/>
        <v>Medium Priority</v>
      </c>
    </row>
    <row r="10" spans="1:3">
      <c r="A10" t="s">
        <v>280</v>
      </c>
      <c r="B10">
        <f>COUNTIFS(PurchaseOrders!$B:$B,A10,PurchaseOrders!$I:$I,"Urgent Follow-Up")</f>
        <v>2</v>
      </c>
      <c r="C10" t="str">
        <f t="shared" si="0"/>
        <v>Medium Priority</v>
      </c>
    </row>
    <row r="11" spans="1:3">
      <c r="A11" t="s">
        <v>247</v>
      </c>
      <c r="B11">
        <f>COUNTIFS(PurchaseOrders!$B:$B,A11,PurchaseOrders!$I:$I,"Urgent Follow-Up")</f>
        <v>1</v>
      </c>
      <c r="C11" t="str">
        <f t="shared" si="0"/>
        <v>Low Priority</v>
      </c>
    </row>
    <row r="12" spans="1:3">
      <c r="A12" t="s">
        <v>261</v>
      </c>
      <c r="B12">
        <f>COUNTIFS(PurchaseOrders!$B:$B,A12,PurchaseOrders!$I:$I,"Urgent Follow-Up")</f>
        <v>1</v>
      </c>
      <c r="C12" t="str">
        <f t="shared" si="0"/>
        <v>Low Priority</v>
      </c>
    </row>
    <row r="13" spans="1:3">
      <c r="A13" t="s">
        <v>251</v>
      </c>
      <c r="B13">
        <f>COUNTIFS(PurchaseOrders!$B:$B,A13,PurchaseOrders!$I:$I,"Urgent Follow-Up")</f>
        <v>1</v>
      </c>
      <c r="C13" t="str">
        <f t="shared" si="0"/>
        <v>Low Priority</v>
      </c>
    </row>
    <row r="14" spans="1:3">
      <c r="A14" t="s">
        <v>270</v>
      </c>
      <c r="B14">
        <f>COUNTIFS(PurchaseOrders!$B:$B,A14,PurchaseOrders!$I:$I,"Urgent Follow-Up")</f>
        <v>1</v>
      </c>
      <c r="C14" t="str">
        <f t="shared" si="0"/>
        <v>Low Priority</v>
      </c>
    </row>
    <row r="15" spans="1:3">
      <c r="A15" t="s">
        <v>268</v>
      </c>
      <c r="B15">
        <f>COUNTIFS(PurchaseOrders!$B:$B,A15,PurchaseOrders!$I:$I,"Urgent Follow-Up")</f>
        <v>1</v>
      </c>
      <c r="C15" t="str">
        <f t="shared" si="0"/>
        <v>Low Priority</v>
      </c>
    </row>
    <row r="16" spans="1:3">
      <c r="A16" t="s">
        <v>259</v>
      </c>
      <c r="B16">
        <f>COUNTIFS(PurchaseOrders!$B:$B,A16,PurchaseOrders!$I:$I,"Urgent Follow-Up")</f>
        <v>1</v>
      </c>
      <c r="C16" t="str">
        <f t="shared" si="0"/>
        <v>Low Priority</v>
      </c>
    </row>
    <row r="17" spans="1:3">
      <c r="A17" t="s">
        <v>276</v>
      </c>
      <c r="B17">
        <f>COUNTIFS(PurchaseOrders!$B:$B,A17,PurchaseOrders!$I:$I,"Urgent Follow-Up")</f>
        <v>1</v>
      </c>
      <c r="C17" t="str">
        <f t="shared" si="0"/>
        <v>Low Priority</v>
      </c>
    </row>
    <row r="18" spans="1:3">
      <c r="A18" t="s">
        <v>257</v>
      </c>
      <c r="B18">
        <f>COUNTIFS(PurchaseOrders!$B:$B,A18,PurchaseOrders!$I:$I,"Urgent Follow-Up")</f>
        <v>0</v>
      </c>
      <c r="C18" t="str">
        <f t="shared" si="0"/>
        <v>No Overdue Orders</v>
      </c>
    </row>
    <row r="19" spans="1:3">
      <c r="A19" t="s">
        <v>236</v>
      </c>
      <c r="B19">
        <f>COUNTIFS(PurchaseOrders!$B:$B,A19,PurchaseOrders!$I:$I,"Urgent Follow-Up")</f>
        <v>0</v>
      </c>
      <c r="C19" t="str">
        <f t="shared" si="0"/>
        <v>No Overdue Orders</v>
      </c>
    </row>
    <row r="20" spans="1:3">
      <c r="A20" t="s">
        <v>274</v>
      </c>
      <c r="B20">
        <f>COUNTIFS(PurchaseOrders!$B:$B,A20,PurchaseOrders!$I:$I,"Urgent Follow-Up")</f>
        <v>0</v>
      </c>
      <c r="C20" t="str">
        <f t="shared" si="0"/>
        <v>No Overdue Orders</v>
      </c>
    </row>
    <row r="21" spans="1:3">
      <c r="A21" t="s">
        <v>284</v>
      </c>
      <c r="B21">
        <f>COUNTIFS(PurchaseOrders!$B:$B,A21,PurchaseOrders!$I:$I,"Urgent Follow-Up")</f>
        <v>0</v>
      </c>
      <c r="C21" t="str">
        <f t="shared" si="0"/>
        <v>No Overdue Orders</v>
      </c>
    </row>
  </sheetData>
  <sortState ref="A2:B21">
    <sortCondition ref="B2:B21" descending="1"/>
  </sortState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4"/>
  <cols>
    <col min="1" max="1" width="12" customWidth="1"/>
    <col min="2" max="2" width="19" customWidth="1"/>
    <col min="3" max="3" width="12" customWidth="1"/>
    <col min="4" max="4" width="16" customWidth="1"/>
    <col min="5" max="5" width="17" customWidth="1"/>
  </cols>
  <sheetData>
    <row r="1" ht="30" customHeight="1" spans="1:5">
      <c r="A1" s="1" t="s">
        <v>48</v>
      </c>
      <c r="B1" s="1" t="s">
        <v>1244</v>
      </c>
      <c r="C1" s="1" t="s">
        <v>1245</v>
      </c>
      <c r="D1" s="1" t="s">
        <v>234</v>
      </c>
      <c r="E1" s="1" t="s">
        <v>1246</v>
      </c>
    </row>
    <row r="2" spans="1:5">
      <c r="A2" t="s">
        <v>1247</v>
      </c>
      <c r="B2" t="s">
        <v>1248</v>
      </c>
      <c r="C2" t="s">
        <v>1249</v>
      </c>
      <c r="D2" t="s">
        <v>245</v>
      </c>
      <c r="E2" t="s">
        <v>239</v>
      </c>
    </row>
    <row r="3" spans="1:5">
      <c r="A3" t="s">
        <v>1250</v>
      </c>
      <c r="B3" t="s">
        <v>1251</v>
      </c>
      <c r="C3" t="s">
        <v>1249</v>
      </c>
      <c r="D3" t="s">
        <v>250</v>
      </c>
      <c r="E3" t="s">
        <v>239</v>
      </c>
    </row>
    <row r="4" spans="1:5">
      <c r="A4" t="s">
        <v>1252</v>
      </c>
      <c r="B4" t="s">
        <v>1253</v>
      </c>
      <c r="C4" t="s">
        <v>1254</v>
      </c>
      <c r="D4" t="s">
        <v>245</v>
      </c>
      <c r="E4" t="s">
        <v>239</v>
      </c>
    </row>
    <row r="5" spans="1:5">
      <c r="A5" t="s">
        <v>1255</v>
      </c>
      <c r="B5" t="s">
        <v>1256</v>
      </c>
      <c r="C5" t="s">
        <v>1254</v>
      </c>
      <c r="D5" t="s">
        <v>250</v>
      </c>
      <c r="E5" t="s">
        <v>239</v>
      </c>
    </row>
    <row r="6" spans="1:5">
      <c r="A6" t="s">
        <v>1257</v>
      </c>
      <c r="B6" t="s">
        <v>1258</v>
      </c>
      <c r="C6" t="s">
        <v>1259</v>
      </c>
      <c r="D6" t="s">
        <v>250</v>
      </c>
      <c r="E6" t="s">
        <v>239</v>
      </c>
    </row>
    <row r="7" spans="1:5">
      <c r="A7" t="s">
        <v>1260</v>
      </c>
      <c r="B7" t="s">
        <v>1261</v>
      </c>
      <c r="C7" t="s">
        <v>1254</v>
      </c>
      <c r="D7" t="s">
        <v>240</v>
      </c>
      <c r="E7" t="s">
        <v>265</v>
      </c>
    </row>
    <row r="8" spans="1:5">
      <c r="A8" t="s">
        <v>1262</v>
      </c>
      <c r="B8" t="s">
        <v>1263</v>
      </c>
      <c r="C8" t="s">
        <v>73</v>
      </c>
      <c r="D8" t="s">
        <v>245</v>
      </c>
      <c r="E8" t="s">
        <v>265</v>
      </c>
    </row>
    <row r="9" spans="1:5">
      <c r="A9" t="s">
        <v>1264</v>
      </c>
      <c r="B9" t="s">
        <v>1265</v>
      </c>
      <c r="C9" t="s">
        <v>1266</v>
      </c>
      <c r="D9" t="s">
        <v>245</v>
      </c>
      <c r="E9" t="s">
        <v>265</v>
      </c>
    </row>
    <row r="10" spans="1:5">
      <c r="A10" t="s">
        <v>1267</v>
      </c>
      <c r="B10" t="s">
        <v>1268</v>
      </c>
      <c r="C10" t="s">
        <v>1259</v>
      </c>
      <c r="D10" t="s">
        <v>250</v>
      </c>
      <c r="E10" t="s">
        <v>265</v>
      </c>
    </row>
    <row r="11" spans="1:5">
      <c r="A11" t="s">
        <v>1269</v>
      </c>
      <c r="B11" t="s">
        <v>1270</v>
      </c>
      <c r="C11" t="s">
        <v>1266</v>
      </c>
      <c r="D11" t="s">
        <v>245</v>
      </c>
      <c r="E11" t="s">
        <v>265</v>
      </c>
    </row>
    <row r="12" spans="1:5">
      <c r="A12" t="s">
        <v>1271</v>
      </c>
      <c r="B12" t="s">
        <v>1272</v>
      </c>
      <c r="C12" t="s">
        <v>1249</v>
      </c>
      <c r="D12" t="s">
        <v>245</v>
      </c>
      <c r="E12" t="s">
        <v>265</v>
      </c>
    </row>
    <row r="13" spans="1:5">
      <c r="A13" t="s">
        <v>1273</v>
      </c>
      <c r="B13" t="s">
        <v>1274</v>
      </c>
      <c r="C13" t="s">
        <v>73</v>
      </c>
      <c r="D13" t="s">
        <v>250</v>
      </c>
      <c r="E13" t="s">
        <v>265</v>
      </c>
    </row>
    <row r="14" spans="1:5">
      <c r="A14" t="s">
        <v>1275</v>
      </c>
      <c r="B14" t="s">
        <v>1276</v>
      </c>
      <c r="C14" t="s">
        <v>73</v>
      </c>
      <c r="D14" t="s">
        <v>245</v>
      </c>
      <c r="E14" t="s">
        <v>265</v>
      </c>
    </row>
    <row r="15" spans="1:5">
      <c r="A15" t="s">
        <v>1277</v>
      </c>
      <c r="B15" t="s">
        <v>1278</v>
      </c>
      <c r="C15" t="s">
        <v>1259</v>
      </c>
      <c r="D15" t="s">
        <v>245</v>
      </c>
      <c r="E15" t="s">
        <v>265</v>
      </c>
    </row>
    <row r="16" spans="1:5">
      <c r="A16" t="s">
        <v>1279</v>
      </c>
      <c r="B16" t="s">
        <v>1280</v>
      </c>
      <c r="C16" t="s">
        <v>1249</v>
      </c>
      <c r="D16" t="s">
        <v>240</v>
      </c>
      <c r="E16" t="s">
        <v>265</v>
      </c>
    </row>
  </sheetData>
  <autoFilter xmlns:etc="http://www.wps.cn/officeDocument/2017/etCustomData" ref="A1:E16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7"/>
  <cols>
    <col min="1" max="1" width="12" customWidth="1"/>
    <col min="2" max="2" width="14" customWidth="1"/>
    <col min="3" max="3" width="12" customWidth="1"/>
    <col min="4" max="4" width="21" customWidth="1"/>
    <col min="5" max="5" width="12" customWidth="1"/>
    <col min="6" max="7" width="16" customWidth="1"/>
    <col min="8" max="8" width="13" customWidth="1"/>
  </cols>
  <sheetData>
    <row r="1" ht="30" customHeight="1" spans="1:8">
      <c r="A1" s="1" t="s">
        <v>51</v>
      </c>
      <c r="B1" s="1" t="s">
        <v>1281</v>
      </c>
      <c r="C1" s="1" t="s">
        <v>48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</row>
    <row r="2" spans="1:8">
      <c r="A2" t="s">
        <v>1287</v>
      </c>
      <c r="B2" t="s">
        <v>1288</v>
      </c>
      <c r="C2" t="s">
        <v>1271</v>
      </c>
      <c r="D2" s="2">
        <v>45867</v>
      </c>
      <c r="E2">
        <v>53375.74</v>
      </c>
      <c r="F2">
        <v>45349.63</v>
      </c>
      <c r="G2" t="s">
        <v>1289</v>
      </c>
      <c r="H2" t="s">
        <v>1290</v>
      </c>
    </row>
    <row r="3" spans="1:8">
      <c r="A3" t="s">
        <v>1291</v>
      </c>
      <c r="B3" t="s">
        <v>1292</v>
      </c>
      <c r="C3" t="s">
        <v>1262</v>
      </c>
      <c r="D3" s="2">
        <v>45864</v>
      </c>
      <c r="E3">
        <v>33709.46</v>
      </c>
      <c r="F3">
        <v>33298.82</v>
      </c>
      <c r="G3" t="s">
        <v>1289</v>
      </c>
      <c r="H3" t="s">
        <v>1290</v>
      </c>
    </row>
    <row r="4" spans="1:8">
      <c r="A4" t="s">
        <v>1293</v>
      </c>
      <c r="B4" t="s">
        <v>1294</v>
      </c>
      <c r="C4" t="s">
        <v>1275</v>
      </c>
      <c r="D4" s="2">
        <v>45810</v>
      </c>
      <c r="E4">
        <v>16456.28</v>
      </c>
      <c r="F4">
        <v>16423.88</v>
      </c>
      <c r="G4" t="s">
        <v>1295</v>
      </c>
      <c r="H4" t="s">
        <v>1296</v>
      </c>
    </row>
    <row r="5" spans="1:8">
      <c r="A5" t="s">
        <v>1297</v>
      </c>
      <c r="B5" t="s">
        <v>1298</v>
      </c>
      <c r="C5" t="s">
        <v>1264</v>
      </c>
      <c r="D5" s="2">
        <v>45940</v>
      </c>
      <c r="E5">
        <v>77964.25</v>
      </c>
      <c r="F5">
        <v>65840.95</v>
      </c>
      <c r="G5" t="s">
        <v>1295</v>
      </c>
      <c r="H5" t="s">
        <v>1299</v>
      </c>
    </row>
    <row r="6" spans="1:8">
      <c r="A6" t="s">
        <v>1300</v>
      </c>
      <c r="B6" t="s">
        <v>1301</v>
      </c>
      <c r="C6" t="s">
        <v>1260</v>
      </c>
      <c r="D6" s="2">
        <v>45794</v>
      </c>
      <c r="E6">
        <v>15863.96</v>
      </c>
      <c r="F6">
        <v>14390.41</v>
      </c>
      <c r="G6" t="s">
        <v>1295</v>
      </c>
      <c r="H6" t="s">
        <v>1296</v>
      </c>
    </row>
    <row r="7" spans="1:8">
      <c r="A7" t="s">
        <v>1302</v>
      </c>
      <c r="B7" t="s">
        <v>1303</v>
      </c>
      <c r="C7" t="s">
        <v>1279</v>
      </c>
      <c r="D7" s="2">
        <v>45959</v>
      </c>
      <c r="E7">
        <v>47907.49</v>
      </c>
      <c r="F7">
        <v>50216.32</v>
      </c>
      <c r="G7" t="s">
        <v>1304</v>
      </c>
      <c r="H7" t="s">
        <v>1296</v>
      </c>
    </row>
    <row r="8" spans="1:8">
      <c r="A8" t="s">
        <v>1305</v>
      </c>
      <c r="B8" t="s">
        <v>1306</v>
      </c>
      <c r="C8" t="s">
        <v>1277</v>
      </c>
      <c r="D8" s="2">
        <v>45843</v>
      </c>
      <c r="E8">
        <v>23359.21</v>
      </c>
      <c r="F8">
        <v>24744.1</v>
      </c>
      <c r="G8" t="s">
        <v>1307</v>
      </c>
      <c r="H8" t="s">
        <v>1296</v>
      </c>
    </row>
    <row r="9" spans="1:8">
      <c r="A9" t="s">
        <v>1308</v>
      </c>
      <c r="B9" t="s">
        <v>1309</v>
      </c>
      <c r="C9" t="s">
        <v>1260</v>
      </c>
      <c r="D9" s="2">
        <v>45936</v>
      </c>
      <c r="E9">
        <v>61038.06</v>
      </c>
      <c r="F9">
        <v>46570.45</v>
      </c>
      <c r="G9" t="s">
        <v>1295</v>
      </c>
      <c r="H9" t="s">
        <v>1299</v>
      </c>
    </row>
    <row r="10" spans="1:8">
      <c r="A10" t="s">
        <v>1310</v>
      </c>
      <c r="B10" t="s">
        <v>1311</v>
      </c>
      <c r="C10" t="s">
        <v>1262</v>
      </c>
      <c r="D10" s="2">
        <v>45938</v>
      </c>
      <c r="E10">
        <v>25512.71</v>
      </c>
      <c r="F10">
        <v>24383.55</v>
      </c>
      <c r="G10" t="s">
        <v>1304</v>
      </c>
      <c r="H10" t="s">
        <v>1312</v>
      </c>
    </row>
    <row r="11" spans="1:8">
      <c r="A11" t="s">
        <v>1313</v>
      </c>
      <c r="B11" t="s">
        <v>1314</v>
      </c>
      <c r="C11" t="s">
        <v>1271</v>
      </c>
      <c r="D11" s="2">
        <v>45742</v>
      </c>
      <c r="E11">
        <v>70516.97</v>
      </c>
      <c r="F11">
        <v>63657.24</v>
      </c>
      <c r="G11" t="s">
        <v>1289</v>
      </c>
      <c r="H11" t="s">
        <v>1290</v>
      </c>
    </row>
    <row r="12" spans="1:8">
      <c r="A12" t="s">
        <v>1315</v>
      </c>
      <c r="B12" t="s">
        <v>1316</v>
      </c>
      <c r="C12" t="s">
        <v>1273</v>
      </c>
      <c r="D12" s="2">
        <v>45678</v>
      </c>
      <c r="E12">
        <v>49764.26</v>
      </c>
      <c r="F12">
        <v>43411.07</v>
      </c>
      <c r="G12" t="s">
        <v>1304</v>
      </c>
      <c r="H12" t="s">
        <v>1296</v>
      </c>
    </row>
    <row r="13" spans="1:8">
      <c r="A13" t="s">
        <v>1317</v>
      </c>
      <c r="B13" t="s">
        <v>1318</v>
      </c>
      <c r="C13" t="s">
        <v>1267</v>
      </c>
      <c r="D13" s="2">
        <v>45903</v>
      </c>
      <c r="E13">
        <v>51734.97</v>
      </c>
      <c r="F13">
        <v>42845.22</v>
      </c>
      <c r="G13" t="s">
        <v>1304</v>
      </c>
      <c r="H13" t="s">
        <v>1290</v>
      </c>
    </row>
    <row r="14" spans="1:8">
      <c r="A14" t="s">
        <v>1319</v>
      </c>
      <c r="B14" t="s">
        <v>1320</v>
      </c>
      <c r="C14" t="s">
        <v>1250</v>
      </c>
      <c r="D14" s="2">
        <v>45805</v>
      </c>
      <c r="E14">
        <v>47748.71</v>
      </c>
      <c r="F14">
        <v>35967.56</v>
      </c>
      <c r="G14" t="s">
        <v>1304</v>
      </c>
      <c r="H14" t="s">
        <v>1296</v>
      </c>
    </row>
    <row r="15" spans="1:8">
      <c r="A15" t="s">
        <v>1321</v>
      </c>
      <c r="B15" t="s">
        <v>1322</v>
      </c>
      <c r="C15" t="s">
        <v>1260</v>
      </c>
      <c r="D15" s="2">
        <v>45755</v>
      </c>
      <c r="E15">
        <v>68406.44</v>
      </c>
      <c r="F15">
        <v>60271.43</v>
      </c>
      <c r="G15" t="s">
        <v>1295</v>
      </c>
      <c r="H15" t="s">
        <v>1299</v>
      </c>
    </row>
    <row r="16" spans="1:8">
      <c r="A16" t="s">
        <v>1323</v>
      </c>
      <c r="B16" t="s">
        <v>1324</v>
      </c>
      <c r="C16" t="s">
        <v>1275</v>
      </c>
      <c r="D16" s="2">
        <v>45950</v>
      </c>
      <c r="E16">
        <v>46537.71</v>
      </c>
      <c r="F16">
        <v>40443.26</v>
      </c>
      <c r="G16" t="s">
        <v>1295</v>
      </c>
      <c r="H16" t="s">
        <v>1312</v>
      </c>
    </row>
    <row r="17" spans="1:8">
      <c r="A17" t="s">
        <v>1325</v>
      </c>
      <c r="B17" t="s">
        <v>1326</v>
      </c>
      <c r="C17" t="s">
        <v>1255</v>
      </c>
      <c r="D17" s="2">
        <v>45985</v>
      </c>
      <c r="E17">
        <v>11829.96</v>
      </c>
      <c r="F17">
        <v>9720.31</v>
      </c>
      <c r="G17" t="s">
        <v>1289</v>
      </c>
      <c r="H17" t="s">
        <v>1312</v>
      </c>
    </row>
    <row r="18" spans="1:8">
      <c r="A18" t="s">
        <v>1327</v>
      </c>
      <c r="B18" t="s">
        <v>1328</v>
      </c>
      <c r="C18" t="s">
        <v>1279</v>
      </c>
      <c r="D18" s="2">
        <v>45676</v>
      </c>
      <c r="E18">
        <v>45241.6</v>
      </c>
      <c r="F18">
        <v>36275.8</v>
      </c>
      <c r="G18" t="s">
        <v>1295</v>
      </c>
      <c r="H18" t="s">
        <v>1312</v>
      </c>
    </row>
    <row r="19" spans="1:8">
      <c r="A19" t="s">
        <v>1329</v>
      </c>
      <c r="B19" t="s">
        <v>1330</v>
      </c>
      <c r="C19" t="s">
        <v>1255</v>
      </c>
      <c r="D19" s="2">
        <v>45928</v>
      </c>
      <c r="E19">
        <v>51107.82</v>
      </c>
      <c r="F19">
        <v>45836.43</v>
      </c>
      <c r="G19" t="s">
        <v>1295</v>
      </c>
      <c r="H19" t="s">
        <v>1299</v>
      </c>
    </row>
    <row r="20" spans="1:8">
      <c r="A20" t="s">
        <v>1331</v>
      </c>
      <c r="B20" t="s">
        <v>1332</v>
      </c>
      <c r="C20" t="s">
        <v>1279</v>
      </c>
      <c r="D20" s="2">
        <v>45826</v>
      </c>
      <c r="E20">
        <v>74907.68</v>
      </c>
      <c r="F20">
        <v>77372.81</v>
      </c>
      <c r="G20" t="s">
        <v>1304</v>
      </c>
      <c r="H20" t="s">
        <v>1312</v>
      </c>
    </row>
    <row r="21" spans="1:8">
      <c r="A21" t="s">
        <v>1333</v>
      </c>
      <c r="B21" t="s">
        <v>1334</v>
      </c>
      <c r="C21" t="s">
        <v>1271</v>
      </c>
      <c r="D21" s="2">
        <v>45824</v>
      </c>
      <c r="E21">
        <v>78773.19</v>
      </c>
      <c r="F21">
        <v>83182.22</v>
      </c>
      <c r="G21" t="s">
        <v>1304</v>
      </c>
      <c r="H21" t="s">
        <v>1312</v>
      </c>
    </row>
    <row r="22" spans="1:8">
      <c r="A22" t="s">
        <v>1335</v>
      </c>
      <c r="B22" t="s">
        <v>1336</v>
      </c>
      <c r="C22" t="s">
        <v>1257</v>
      </c>
      <c r="D22" s="2">
        <v>45863</v>
      </c>
      <c r="E22">
        <v>8597.57</v>
      </c>
      <c r="F22">
        <v>7861.84</v>
      </c>
      <c r="G22" t="s">
        <v>1295</v>
      </c>
      <c r="H22" t="s">
        <v>1290</v>
      </c>
    </row>
    <row r="23" spans="1:8">
      <c r="A23" t="s">
        <v>1337</v>
      </c>
      <c r="B23" t="s">
        <v>1338</v>
      </c>
      <c r="C23" t="s">
        <v>1271</v>
      </c>
      <c r="D23" s="2">
        <v>45920</v>
      </c>
      <c r="E23">
        <v>18613.1</v>
      </c>
      <c r="F23">
        <v>16970.23</v>
      </c>
      <c r="G23" t="s">
        <v>1304</v>
      </c>
      <c r="H23" t="s">
        <v>1299</v>
      </c>
    </row>
    <row r="24" spans="1:8">
      <c r="A24" t="s">
        <v>1339</v>
      </c>
      <c r="B24" t="s">
        <v>1340</v>
      </c>
      <c r="C24" t="s">
        <v>1264</v>
      </c>
      <c r="D24" s="2">
        <v>45770</v>
      </c>
      <c r="E24">
        <v>34078</v>
      </c>
      <c r="F24">
        <v>36234.7</v>
      </c>
      <c r="G24" t="s">
        <v>1307</v>
      </c>
      <c r="H24" t="s">
        <v>1299</v>
      </c>
    </row>
    <row r="25" spans="1:8">
      <c r="A25" t="s">
        <v>1341</v>
      </c>
      <c r="B25" t="s">
        <v>1342</v>
      </c>
      <c r="C25" t="s">
        <v>1267</v>
      </c>
      <c r="D25" s="2">
        <v>45661</v>
      </c>
      <c r="E25">
        <v>59554.8</v>
      </c>
      <c r="F25">
        <v>48728.71</v>
      </c>
      <c r="G25" t="s">
        <v>1289</v>
      </c>
      <c r="H25" t="s">
        <v>1290</v>
      </c>
    </row>
    <row r="26" spans="1:8">
      <c r="A26" t="s">
        <v>1343</v>
      </c>
      <c r="B26" t="s">
        <v>1344</v>
      </c>
      <c r="C26" t="s">
        <v>1271</v>
      </c>
      <c r="D26" s="2">
        <v>45887</v>
      </c>
      <c r="E26">
        <v>46626.39</v>
      </c>
      <c r="F26">
        <v>37320.38</v>
      </c>
      <c r="G26" t="s">
        <v>1295</v>
      </c>
      <c r="H26" t="s">
        <v>1296</v>
      </c>
    </row>
    <row r="27" spans="1:8">
      <c r="A27" t="s">
        <v>1345</v>
      </c>
      <c r="B27" t="s">
        <v>1346</v>
      </c>
      <c r="C27" t="s">
        <v>1271</v>
      </c>
      <c r="D27" s="2">
        <v>45873</v>
      </c>
      <c r="E27">
        <v>71586.36</v>
      </c>
      <c r="F27">
        <v>64142.29</v>
      </c>
      <c r="G27" t="s">
        <v>1307</v>
      </c>
      <c r="H27" t="s">
        <v>1290</v>
      </c>
    </row>
    <row r="28" spans="1:8">
      <c r="A28" t="s">
        <v>1347</v>
      </c>
      <c r="B28" t="s">
        <v>1348</v>
      </c>
      <c r="C28" t="s">
        <v>1264</v>
      </c>
      <c r="D28" s="2">
        <v>45796</v>
      </c>
      <c r="E28">
        <v>20744.89</v>
      </c>
      <c r="F28">
        <v>16672.48</v>
      </c>
      <c r="G28" t="s">
        <v>1295</v>
      </c>
      <c r="H28" t="s">
        <v>1312</v>
      </c>
    </row>
    <row r="29" spans="1:8">
      <c r="A29" t="s">
        <v>1349</v>
      </c>
      <c r="B29" t="s">
        <v>1350</v>
      </c>
      <c r="C29" t="s">
        <v>1260</v>
      </c>
      <c r="D29" s="2">
        <v>45699</v>
      </c>
      <c r="E29">
        <v>6152.47</v>
      </c>
      <c r="F29">
        <v>5994.3</v>
      </c>
      <c r="G29" t="s">
        <v>1289</v>
      </c>
      <c r="H29" t="s">
        <v>1299</v>
      </c>
    </row>
    <row r="30" spans="1:8">
      <c r="A30" t="s">
        <v>1351</v>
      </c>
      <c r="B30" t="s">
        <v>1352</v>
      </c>
      <c r="C30" t="s">
        <v>1264</v>
      </c>
      <c r="D30" s="2">
        <v>45849</v>
      </c>
      <c r="E30">
        <v>35589.5</v>
      </c>
      <c r="F30">
        <v>29679.58</v>
      </c>
      <c r="G30" t="s">
        <v>1304</v>
      </c>
      <c r="H30" t="s">
        <v>1299</v>
      </c>
    </row>
    <row r="31" spans="1:8">
      <c r="A31" t="s">
        <v>1353</v>
      </c>
      <c r="B31" t="s">
        <v>1354</v>
      </c>
      <c r="C31" t="s">
        <v>1260</v>
      </c>
      <c r="D31" s="2">
        <v>45928</v>
      </c>
      <c r="E31">
        <v>71655.98</v>
      </c>
      <c r="F31">
        <v>61721.19</v>
      </c>
      <c r="G31" t="s">
        <v>1307</v>
      </c>
      <c r="H31" t="s">
        <v>1299</v>
      </c>
    </row>
    <row r="32" spans="1:8">
      <c r="A32" t="s">
        <v>1355</v>
      </c>
      <c r="B32" t="s">
        <v>1356</v>
      </c>
      <c r="C32" t="s">
        <v>1255</v>
      </c>
      <c r="D32" s="2">
        <v>45716</v>
      </c>
      <c r="E32">
        <v>21499.33</v>
      </c>
      <c r="F32">
        <v>21821.12</v>
      </c>
      <c r="G32" t="s">
        <v>1289</v>
      </c>
      <c r="H32" t="s">
        <v>1312</v>
      </c>
    </row>
    <row r="33" spans="1:8">
      <c r="A33" t="s">
        <v>1357</v>
      </c>
      <c r="B33" t="s">
        <v>1358</v>
      </c>
      <c r="C33" t="s">
        <v>1260</v>
      </c>
      <c r="D33" s="2">
        <v>45727</v>
      </c>
      <c r="E33">
        <v>57440.65</v>
      </c>
      <c r="F33">
        <v>54252.91</v>
      </c>
      <c r="G33" t="s">
        <v>1304</v>
      </c>
      <c r="H33" t="s">
        <v>1296</v>
      </c>
    </row>
    <row r="34" spans="1:8">
      <c r="A34" t="s">
        <v>1359</v>
      </c>
      <c r="B34" t="s">
        <v>1360</v>
      </c>
      <c r="C34" t="s">
        <v>1260</v>
      </c>
      <c r="D34" s="2">
        <v>45860</v>
      </c>
      <c r="E34">
        <v>13848.42</v>
      </c>
      <c r="F34">
        <v>13642.34</v>
      </c>
      <c r="G34" t="s">
        <v>1304</v>
      </c>
      <c r="H34" t="s">
        <v>1312</v>
      </c>
    </row>
    <row r="35" spans="1:8">
      <c r="A35" t="s">
        <v>1361</v>
      </c>
      <c r="B35" t="s">
        <v>1362</v>
      </c>
      <c r="C35" t="s">
        <v>1267</v>
      </c>
      <c r="D35" s="2">
        <v>45716</v>
      </c>
      <c r="E35">
        <v>43040.3</v>
      </c>
      <c r="F35">
        <v>35214.38</v>
      </c>
      <c r="G35" t="s">
        <v>1289</v>
      </c>
      <c r="H35" t="s">
        <v>1312</v>
      </c>
    </row>
    <row r="36" spans="1:8">
      <c r="A36" t="s">
        <v>1363</v>
      </c>
      <c r="B36" t="s">
        <v>1364</v>
      </c>
      <c r="C36" t="s">
        <v>1264</v>
      </c>
      <c r="D36" s="2">
        <v>45786</v>
      </c>
      <c r="E36">
        <v>62897.33</v>
      </c>
      <c r="F36">
        <v>65769.04</v>
      </c>
      <c r="G36" t="s">
        <v>1295</v>
      </c>
      <c r="H36" t="s">
        <v>1290</v>
      </c>
    </row>
    <row r="37" spans="1:8">
      <c r="A37" t="s">
        <v>1365</v>
      </c>
      <c r="B37" t="s">
        <v>1366</v>
      </c>
      <c r="C37" t="s">
        <v>1275</v>
      </c>
      <c r="D37" s="2">
        <v>45860</v>
      </c>
      <c r="E37">
        <v>64519.34</v>
      </c>
      <c r="F37">
        <v>50887.44</v>
      </c>
      <c r="G37" t="s">
        <v>1289</v>
      </c>
      <c r="H37" t="s">
        <v>1299</v>
      </c>
    </row>
    <row r="38" spans="1:8">
      <c r="A38" t="s">
        <v>1367</v>
      </c>
      <c r="B38" t="s">
        <v>1368</v>
      </c>
      <c r="C38" t="s">
        <v>1250</v>
      </c>
      <c r="D38" s="2">
        <v>45735</v>
      </c>
      <c r="E38">
        <v>19721.54</v>
      </c>
      <c r="F38">
        <v>20964.42</v>
      </c>
      <c r="G38" t="s">
        <v>1289</v>
      </c>
      <c r="H38" t="s">
        <v>1296</v>
      </c>
    </row>
    <row r="39" spans="1:8">
      <c r="A39" t="s">
        <v>1369</v>
      </c>
      <c r="B39" t="s">
        <v>1370</v>
      </c>
      <c r="C39" t="s">
        <v>1275</v>
      </c>
      <c r="D39" s="2">
        <v>45675</v>
      </c>
      <c r="E39">
        <v>77149.54</v>
      </c>
      <c r="F39">
        <v>60168.02</v>
      </c>
      <c r="G39" t="s">
        <v>1307</v>
      </c>
      <c r="H39" t="s">
        <v>1296</v>
      </c>
    </row>
    <row r="40" spans="1:8">
      <c r="A40" t="s">
        <v>1371</v>
      </c>
      <c r="B40" t="s">
        <v>1372</v>
      </c>
      <c r="C40" t="s">
        <v>1260</v>
      </c>
      <c r="D40" s="2">
        <v>45893</v>
      </c>
      <c r="E40">
        <v>67584.07</v>
      </c>
      <c r="F40">
        <v>54511.16</v>
      </c>
      <c r="G40" t="s">
        <v>1295</v>
      </c>
      <c r="H40" t="s">
        <v>1296</v>
      </c>
    </row>
    <row r="41" spans="1:8">
      <c r="A41" t="s">
        <v>1373</v>
      </c>
      <c r="B41" t="s">
        <v>1374</v>
      </c>
      <c r="C41" t="s">
        <v>1264</v>
      </c>
      <c r="D41" s="2">
        <v>45774</v>
      </c>
      <c r="E41">
        <v>40535.63</v>
      </c>
      <c r="F41">
        <v>43032.68</v>
      </c>
      <c r="G41" t="s">
        <v>1304</v>
      </c>
      <c r="H41" t="s">
        <v>1290</v>
      </c>
    </row>
    <row r="42" spans="1:8">
      <c r="A42" t="s">
        <v>1375</v>
      </c>
      <c r="B42" t="s">
        <v>1376</v>
      </c>
      <c r="C42" t="s">
        <v>1277</v>
      </c>
      <c r="D42" s="2">
        <v>45928</v>
      </c>
      <c r="E42">
        <v>50691.7</v>
      </c>
      <c r="F42">
        <v>51462.98</v>
      </c>
      <c r="G42" t="s">
        <v>1289</v>
      </c>
      <c r="H42" t="s">
        <v>1296</v>
      </c>
    </row>
    <row r="43" spans="1:8">
      <c r="A43" t="s">
        <v>1377</v>
      </c>
      <c r="B43" t="s">
        <v>1378</v>
      </c>
      <c r="C43" t="s">
        <v>1264</v>
      </c>
      <c r="D43" s="2">
        <v>45972</v>
      </c>
      <c r="E43">
        <v>32863.97</v>
      </c>
      <c r="F43">
        <v>29765.29</v>
      </c>
      <c r="G43" t="s">
        <v>1295</v>
      </c>
      <c r="H43" t="s">
        <v>1290</v>
      </c>
    </row>
    <row r="44" spans="1:8">
      <c r="A44" t="s">
        <v>1379</v>
      </c>
      <c r="B44" t="s">
        <v>1380</v>
      </c>
      <c r="C44" t="s">
        <v>1250</v>
      </c>
      <c r="D44" s="2">
        <v>45852</v>
      </c>
      <c r="E44">
        <v>73383</v>
      </c>
      <c r="F44">
        <v>77458</v>
      </c>
      <c r="G44" t="s">
        <v>1304</v>
      </c>
      <c r="H44" t="s">
        <v>1290</v>
      </c>
    </row>
    <row r="45" spans="1:8">
      <c r="A45" t="s">
        <v>1381</v>
      </c>
      <c r="B45" t="s">
        <v>1382</v>
      </c>
      <c r="C45" t="s">
        <v>1269</v>
      </c>
      <c r="D45" s="2">
        <v>45699</v>
      </c>
      <c r="E45">
        <v>35267.78</v>
      </c>
      <c r="F45">
        <v>33720.03</v>
      </c>
      <c r="G45" t="s">
        <v>1307</v>
      </c>
      <c r="H45" t="s">
        <v>1296</v>
      </c>
    </row>
    <row r="46" spans="1:8">
      <c r="A46" t="s">
        <v>1383</v>
      </c>
      <c r="B46" t="s">
        <v>1384</v>
      </c>
      <c r="C46" t="s">
        <v>1269</v>
      </c>
      <c r="D46" s="2">
        <v>45904</v>
      </c>
      <c r="E46">
        <v>54312.07</v>
      </c>
      <c r="F46">
        <v>48558.96</v>
      </c>
      <c r="G46" t="s">
        <v>1304</v>
      </c>
      <c r="H46" t="s">
        <v>1290</v>
      </c>
    </row>
    <row r="47" spans="1:8">
      <c r="A47" t="s">
        <v>1385</v>
      </c>
      <c r="B47" t="s">
        <v>1386</v>
      </c>
      <c r="C47" t="s">
        <v>1275</v>
      </c>
      <c r="D47" s="2">
        <v>45907</v>
      </c>
      <c r="E47">
        <v>70902.32</v>
      </c>
      <c r="F47">
        <v>61043.9</v>
      </c>
      <c r="G47" t="s">
        <v>1307</v>
      </c>
      <c r="H47" t="s">
        <v>1299</v>
      </c>
    </row>
    <row r="48" spans="1:8">
      <c r="A48" t="s">
        <v>1387</v>
      </c>
      <c r="B48" t="s">
        <v>1388</v>
      </c>
      <c r="C48" t="s">
        <v>1264</v>
      </c>
      <c r="D48" s="2">
        <v>45928</v>
      </c>
      <c r="E48">
        <v>67676.94</v>
      </c>
      <c r="F48">
        <v>63724.79</v>
      </c>
      <c r="G48" t="s">
        <v>1304</v>
      </c>
      <c r="H48" t="s">
        <v>1296</v>
      </c>
    </row>
    <row r="49" spans="1:8">
      <c r="A49" t="s">
        <v>1389</v>
      </c>
      <c r="B49" t="s">
        <v>1390</v>
      </c>
      <c r="C49" t="s">
        <v>1267</v>
      </c>
      <c r="D49" s="2">
        <v>45764</v>
      </c>
      <c r="E49">
        <v>55704.2</v>
      </c>
      <c r="F49">
        <v>52344.94</v>
      </c>
      <c r="G49" t="s">
        <v>1295</v>
      </c>
      <c r="H49" t="s">
        <v>1296</v>
      </c>
    </row>
    <row r="50" spans="1:8">
      <c r="A50" t="s">
        <v>1391</v>
      </c>
      <c r="B50" t="s">
        <v>1392</v>
      </c>
      <c r="C50" t="s">
        <v>1279</v>
      </c>
      <c r="D50" s="2">
        <v>45789</v>
      </c>
      <c r="E50">
        <v>57708.72</v>
      </c>
      <c r="F50">
        <v>62645.29</v>
      </c>
      <c r="G50" t="s">
        <v>1307</v>
      </c>
      <c r="H50" t="s">
        <v>1290</v>
      </c>
    </row>
    <row r="51" spans="1:8">
      <c r="A51" t="s">
        <v>1393</v>
      </c>
      <c r="B51" t="s">
        <v>1394</v>
      </c>
      <c r="C51" t="s">
        <v>1273</v>
      </c>
      <c r="D51" s="2">
        <v>45877</v>
      </c>
      <c r="E51">
        <v>36349.87</v>
      </c>
      <c r="F51">
        <v>30857.84</v>
      </c>
      <c r="G51" t="s">
        <v>1289</v>
      </c>
      <c r="H51" t="s">
        <v>1299</v>
      </c>
    </row>
    <row r="52" spans="1:8">
      <c r="A52" t="s">
        <v>1395</v>
      </c>
      <c r="B52" t="s">
        <v>1396</v>
      </c>
      <c r="C52" t="s">
        <v>1247</v>
      </c>
      <c r="D52" s="2">
        <v>45817</v>
      </c>
      <c r="E52">
        <v>8020.86</v>
      </c>
      <c r="F52">
        <v>6510.77</v>
      </c>
      <c r="G52" t="s">
        <v>1289</v>
      </c>
      <c r="H52" t="s">
        <v>1312</v>
      </c>
    </row>
    <row r="53" spans="1:8">
      <c r="A53" t="s">
        <v>1397</v>
      </c>
      <c r="B53" t="s">
        <v>1398</v>
      </c>
      <c r="C53" t="s">
        <v>1247</v>
      </c>
      <c r="D53" s="2">
        <v>45887</v>
      </c>
      <c r="E53">
        <v>61623.4</v>
      </c>
      <c r="F53">
        <v>62649.25</v>
      </c>
      <c r="G53" t="s">
        <v>1304</v>
      </c>
      <c r="H53" t="s">
        <v>1312</v>
      </c>
    </row>
    <row r="54" spans="1:8">
      <c r="A54" t="s">
        <v>1399</v>
      </c>
      <c r="B54" t="s">
        <v>1400</v>
      </c>
      <c r="C54" t="s">
        <v>1277</v>
      </c>
      <c r="D54" s="2">
        <v>45672</v>
      </c>
      <c r="E54">
        <v>8416.26</v>
      </c>
      <c r="F54">
        <v>7966.08</v>
      </c>
      <c r="G54" t="s">
        <v>1307</v>
      </c>
      <c r="H54" t="s">
        <v>1290</v>
      </c>
    </row>
    <row r="55" spans="1:8">
      <c r="A55" t="s">
        <v>1401</v>
      </c>
      <c r="B55" t="s">
        <v>1402</v>
      </c>
      <c r="C55" t="s">
        <v>1264</v>
      </c>
      <c r="D55" s="2">
        <v>45916</v>
      </c>
      <c r="E55">
        <v>34402.22</v>
      </c>
      <c r="F55">
        <v>32929.86</v>
      </c>
      <c r="G55" t="s">
        <v>1307</v>
      </c>
      <c r="H55" t="s">
        <v>1290</v>
      </c>
    </row>
    <row r="56" spans="1:8">
      <c r="A56" t="s">
        <v>1403</v>
      </c>
      <c r="B56" t="s">
        <v>1404</v>
      </c>
      <c r="C56" t="s">
        <v>1277</v>
      </c>
      <c r="D56" s="2">
        <v>45836</v>
      </c>
      <c r="E56">
        <v>66970.19</v>
      </c>
      <c r="F56">
        <v>74742.3</v>
      </c>
      <c r="G56" t="s">
        <v>1289</v>
      </c>
      <c r="H56" t="s">
        <v>1299</v>
      </c>
    </row>
    <row r="57" spans="1:8">
      <c r="A57" t="s">
        <v>1405</v>
      </c>
      <c r="B57" t="s">
        <v>1406</v>
      </c>
      <c r="C57" t="s">
        <v>1271</v>
      </c>
      <c r="D57" s="2">
        <v>45946</v>
      </c>
      <c r="E57">
        <v>54183.3</v>
      </c>
      <c r="F57">
        <v>41246.88</v>
      </c>
      <c r="G57" t="s">
        <v>1295</v>
      </c>
      <c r="H57" t="s">
        <v>1299</v>
      </c>
    </row>
    <row r="58" spans="1:8">
      <c r="A58" t="s">
        <v>1407</v>
      </c>
      <c r="B58" t="s">
        <v>1408</v>
      </c>
      <c r="C58" t="s">
        <v>1273</v>
      </c>
      <c r="D58" s="2">
        <v>45678</v>
      </c>
      <c r="E58">
        <v>32829.86</v>
      </c>
      <c r="F58">
        <v>35419.72</v>
      </c>
      <c r="G58" t="s">
        <v>1295</v>
      </c>
      <c r="H58" t="s">
        <v>1296</v>
      </c>
    </row>
    <row r="59" spans="1:8">
      <c r="A59" t="s">
        <v>1409</v>
      </c>
      <c r="B59" t="s">
        <v>1410</v>
      </c>
      <c r="C59" t="s">
        <v>1257</v>
      </c>
      <c r="D59" s="2">
        <v>45915</v>
      </c>
      <c r="E59">
        <v>33674.46</v>
      </c>
      <c r="F59">
        <v>28445.3</v>
      </c>
      <c r="G59" t="s">
        <v>1289</v>
      </c>
      <c r="H59" t="s">
        <v>1299</v>
      </c>
    </row>
    <row r="60" spans="1:8">
      <c r="A60" t="s">
        <v>1411</v>
      </c>
      <c r="B60" t="s">
        <v>1412</v>
      </c>
      <c r="C60" t="s">
        <v>1267</v>
      </c>
      <c r="D60" s="2">
        <v>45806</v>
      </c>
      <c r="E60">
        <v>63656.75</v>
      </c>
      <c r="F60">
        <v>51558.68</v>
      </c>
      <c r="G60" t="s">
        <v>1304</v>
      </c>
      <c r="H60" t="s">
        <v>1299</v>
      </c>
    </row>
    <row r="61" spans="1:8">
      <c r="A61" t="s">
        <v>1413</v>
      </c>
      <c r="B61" t="s">
        <v>1414</v>
      </c>
      <c r="C61" t="s">
        <v>1252</v>
      </c>
      <c r="D61" s="2">
        <v>45859</v>
      </c>
      <c r="E61">
        <v>72664.57</v>
      </c>
      <c r="F61">
        <v>63346.46</v>
      </c>
      <c r="G61" t="s">
        <v>1289</v>
      </c>
      <c r="H61" t="s">
        <v>1296</v>
      </c>
    </row>
  </sheetData>
  <autoFilter xmlns:etc="http://www.wps.cn/officeDocument/2017/etCustomData" ref="A1:H61" etc:filterBottomFollowUsedRange="0">
    <extLst/>
  </autoFilter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5"/>
  <cols>
    <col min="1" max="1" width="12" customWidth="1"/>
    <col min="2" max="2" width="14" customWidth="1"/>
    <col min="3" max="3" width="12" customWidth="1"/>
    <col min="4" max="4" width="19" customWidth="1"/>
    <col min="5" max="5" width="22" customWidth="1"/>
    <col min="6" max="6" width="23" customWidth="1"/>
  </cols>
  <sheetData>
    <row r="1" ht="30" customHeight="1" spans="1:6">
      <c r="A1" s="1" t="s">
        <v>51</v>
      </c>
      <c r="B1" s="1" t="s">
        <v>1415</v>
      </c>
      <c r="C1" s="1" t="s">
        <v>1312</v>
      </c>
      <c r="D1" s="1" t="s">
        <v>1416</v>
      </c>
      <c r="E1" s="1" t="s">
        <v>1417</v>
      </c>
      <c r="F1" s="1" t="s">
        <v>1418</v>
      </c>
    </row>
    <row r="2" spans="1:6">
      <c r="A2" t="s">
        <v>1287</v>
      </c>
      <c r="B2">
        <v>3</v>
      </c>
      <c r="C2">
        <v>730958</v>
      </c>
      <c r="D2">
        <v>7.05</v>
      </c>
      <c r="E2">
        <v>0.87</v>
      </c>
      <c r="F2">
        <v>98.3</v>
      </c>
    </row>
    <row r="3" spans="1:6">
      <c r="A3" t="s">
        <v>1291</v>
      </c>
      <c r="B3">
        <v>8</v>
      </c>
      <c r="C3">
        <v>590569</v>
      </c>
      <c r="D3">
        <v>3.29</v>
      </c>
      <c r="E3">
        <v>1.18</v>
      </c>
      <c r="F3">
        <v>94.4</v>
      </c>
    </row>
    <row r="4" spans="1:6">
      <c r="A4" t="s">
        <v>1293</v>
      </c>
      <c r="B4">
        <v>7</v>
      </c>
      <c r="C4">
        <v>285591</v>
      </c>
      <c r="D4">
        <v>3.01</v>
      </c>
      <c r="E4">
        <v>0.78</v>
      </c>
      <c r="F4">
        <v>81</v>
      </c>
    </row>
    <row r="5" spans="1:6">
      <c r="A5" t="s">
        <v>1297</v>
      </c>
      <c r="B5">
        <v>15</v>
      </c>
      <c r="C5">
        <v>538680</v>
      </c>
      <c r="D5">
        <v>1.01</v>
      </c>
      <c r="E5">
        <v>0.92</v>
      </c>
      <c r="F5">
        <v>74.9</v>
      </c>
    </row>
    <row r="6" spans="1:6">
      <c r="A6" t="s">
        <v>1300</v>
      </c>
      <c r="B6">
        <v>6</v>
      </c>
      <c r="C6">
        <v>903527</v>
      </c>
      <c r="D6">
        <v>7.38</v>
      </c>
      <c r="E6">
        <v>0.28</v>
      </c>
      <c r="F6">
        <v>77.9</v>
      </c>
    </row>
    <row r="7" spans="1:6">
      <c r="A7" t="s">
        <v>1302</v>
      </c>
      <c r="B7">
        <v>4</v>
      </c>
      <c r="C7">
        <v>836473</v>
      </c>
      <c r="D7">
        <v>3.06</v>
      </c>
      <c r="E7">
        <v>0.12</v>
      </c>
      <c r="F7">
        <v>82.1</v>
      </c>
    </row>
    <row r="8" spans="1:6">
      <c r="A8" t="s">
        <v>1305</v>
      </c>
      <c r="B8">
        <v>14</v>
      </c>
      <c r="C8">
        <v>317625</v>
      </c>
      <c r="D8">
        <v>1.99</v>
      </c>
      <c r="E8">
        <v>0.09</v>
      </c>
      <c r="F8">
        <v>92.9</v>
      </c>
    </row>
    <row r="9" spans="1:6">
      <c r="A9" t="s">
        <v>1308</v>
      </c>
      <c r="B9">
        <v>4</v>
      </c>
      <c r="C9">
        <v>66901</v>
      </c>
      <c r="D9">
        <v>6.17</v>
      </c>
      <c r="E9">
        <v>0.51</v>
      </c>
      <c r="F9">
        <v>92.9</v>
      </c>
    </row>
    <row r="10" spans="1:6">
      <c r="A10" t="s">
        <v>1310</v>
      </c>
      <c r="B10">
        <v>10</v>
      </c>
      <c r="C10">
        <v>164608</v>
      </c>
      <c r="D10">
        <v>4.46</v>
      </c>
      <c r="E10">
        <v>0.95</v>
      </c>
      <c r="F10">
        <v>84</v>
      </c>
    </row>
    <row r="11" spans="1:6">
      <c r="A11" t="s">
        <v>1313</v>
      </c>
      <c r="B11">
        <v>4</v>
      </c>
      <c r="C11">
        <v>647901</v>
      </c>
      <c r="D11">
        <v>1.5</v>
      </c>
      <c r="E11">
        <v>1.34</v>
      </c>
      <c r="F11">
        <v>66.1</v>
      </c>
    </row>
    <row r="12" spans="1:6">
      <c r="A12" t="s">
        <v>1315</v>
      </c>
      <c r="B12">
        <v>10</v>
      </c>
      <c r="C12">
        <v>178116</v>
      </c>
      <c r="D12">
        <v>6.74</v>
      </c>
      <c r="E12">
        <v>1.25</v>
      </c>
      <c r="F12">
        <v>67.3</v>
      </c>
    </row>
    <row r="13" spans="1:6">
      <c r="A13" t="s">
        <v>1317</v>
      </c>
      <c r="B13">
        <v>15</v>
      </c>
      <c r="C13">
        <v>205715</v>
      </c>
      <c r="D13">
        <v>4.28</v>
      </c>
      <c r="E13">
        <v>0.23</v>
      </c>
      <c r="F13">
        <v>87.7</v>
      </c>
    </row>
    <row r="14" spans="1:6">
      <c r="A14" t="s">
        <v>1319</v>
      </c>
      <c r="B14">
        <v>7</v>
      </c>
      <c r="C14">
        <v>676341</v>
      </c>
      <c r="D14">
        <v>1.33</v>
      </c>
      <c r="E14">
        <v>1.07</v>
      </c>
      <c r="F14">
        <v>94.8</v>
      </c>
    </row>
    <row r="15" spans="1:6">
      <c r="A15" t="s">
        <v>1321</v>
      </c>
      <c r="B15">
        <v>15</v>
      </c>
      <c r="C15">
        <v>196682</v>
      </c>
      <c r="D15">
        <v>7.84</v>
      </c>
      <c r="E15">
        <v>1.36</v>
      </c>
      <c r="F15">
        <v>69.5</v>
      </c>
    </row>
    <row r="16" spans="1:6">
      <c r="A16" t="s">
        <v>1323</v>
      </c>
      <c r="B16">
        <v>7</v>
      </c>
      <c r="C16">
        <v>475235</v>
      </c>
      <c r="D16">
        <v>5.38</v>
      </c>
      <c r="E16">
        <v>0.64</v>
      </c>
      <c r="F16">
        <v>73.9</v>
      </c>
    </row>
    <row r="17" spans="1:6">
      <c r="A17" t="s">
        <v>1325</v>
      </c>
      <c r="B17">
        <v>15</v>
      </c>
      <c r="C17">
        <v>413920</v>
      </c>
      <c r="D17">
        <v>7.38</v>
      </c>
      <c r="E17">
        <v>0.64</v>
      </c>
      <c r="F17">
        <v>72.3</v>
      </c>
    </row>
    <row r="18" spans="1:6">
      <c r="A18" t="s">
        <v>1327</v>
      </c>
      <c r="B18">
        <v>12</v>
      </c>
      <c r="C18">
        <v>994939</v>
      </c>
      <c r="D18">
        <v>4.58</v>
      </c>
      <c r="E18">
        <v>1.4</v>
      </c>
      <c r="F18">
        <v>95.6</v>
      </c>
    </row>
    <row r="19" spans="1:6">
      <c r="A19" t="s">
        <v>1329</v>
      </c>
      <c r="B19">
        <v>7</v>
      </c>
      <c r="C19">
        <v>1198321</v>
      </c>
      <c r="D19">
        <v>5.05</v>
      </c>
      <c r="E19">
        <v>0.95</v>
      </c>
      <c r="F19">
        <v>79.2</v>
      </c>
    </row>
    <row r="20" spans="1:6">
      <c r="A20" t="s">
        <v>1331</v>
      </c>
      <c r="B20">
        <v>3</v>
      </c>
      <c r="C20">
        <v>1136380</v>
      </c>
      <c r="D20">
        <v>4.4</v>
      </c>
      <c r="E20">
        <v>0.42</v>
      </c>
      <c r="F20">
        <v>83.5</v>
      </c>
    </row>
    <row r="21" spans="1:6">
      <c r="A21" t="s">
        <v>1333</v>
      </c>
      <c r="B21">
        <v>8</v>
      </c>
      <c r="C21">
        <v>629019</v>
      </c>
      <c r="D21">
        <v>3.68</v>
      </c>
      <c r="E21">
        <v>1.41</v>
      </c>
      <c r="F21">
        <v>80.1</v>
      </c>
    </row>
    <row r="22" spans="1:6">
      <c r="A22" t="s">
        <v>1335</v>
      </c>
      <c r="B22">
        <v>10</v>
      </c>
      <c r="C22">
        <v>543846</v>
      </c>
      <c r="D22">
        <v>1.02</v>
      </c>
      <c r="E22">
        <v>0.41</v>
      </c>
      <c r="F22">
        <v>89.7</v>
      </c>
    </row>
    <row r="23" spans="1:6">
      <c r="A23" t="s">
        <v>1337</v>
      </c>
      <c r="B23">
        <v>13</v>
      </c>
      <c r="C23">
        <v>929222</v>
      </c>
      <c r="D23">
        <v>7.65</v>
      </c>
      <c r="E23">
        <v>0.92</v>
      </c>
      <c r="F23">
        <v>65.5</v>
      </c>
    </row>
    <row r="24" spans="1:6">
      <c r="A24" t="s">
        <v>1339</v>
      </c>
      <c r="B24">
        <v>13</v>
      </c>
      <c r="C24">
        <v>202075</v>
      </c>
      <c r="D24">
        <v>1.48</v>
      </c>
      <c r="E24">
        <v>1.43</v>
      </c>
      <c r="F24">
        <v>71.8</v>
      </c>
    </row>
    <row r="25" spans="1:6">
      <c r="A25" t="s">
        <v>1341</v>
      </c>
      <c r="B25">
        <v>2</v>
      </c>
      <c r="C25">
        <v>35376</v>
      </c>
      <c r="D25">
        <v>7.87</v>
      </c>
      <c r="E25">
        <v>0.19</v>
      </c>
      <c r="F25">
        <v>85.6</v>
      </c>
    </row>
    <row r="26" spans="1:6">
      <c r="A26" t="s">
        <v>1343</v>
      </c>
      <c r="B26">
        <v>9</v>
      </c>
      <c r="C26">
        <v>494381</v>
      </c>
      <c r="D26">
        <v>3</v>
      </c>
      <c r="E26">
        <v>0.33</v>
      </c>
      <c r="F26">
        <v>65.4</v>
      </c>
    </row>
    <row r="27" spans="1:6">
      <c r="A27" t="s">
        <v>1345</v>
      </c>
      <c r="B27">
        <v>9</v>
      </c>
      <c r="C27">
        <v>171744</v>
      </c>
      <c r="D27">
        <v>2.24</v>
      </c>
      <c r="E27">
        <v>0.97</v>
      </c>
      <c r="F27">
        <v>77.7</v>
      </c>
    </row>
    <row r="28" spans="1:6">
      <c r="A28" t="s">
        <v>1347</v>
      </c>
      <c r="B28">
        <v>14</v>
      </c>
      <c r="C28">
        <v>207232</v>
      </c>
      <c r="D28">
        <v>2.6</v>
      </c>
      <c r="E28">
        <v>0.81</v>
      </c>
      <c r="F28">
        <v>80.8</v>
      </c>
    </row>
    <row r="29" spans="1:6">
      <c r="A29" t="s">
        <v>1349</v>
      </c>
      <c r="B29">
        <v>14</v>
      </c>
      <c r="C29">
        <v>892911</v>
      </c>
      <c r="D29">
        <v>2.08</v>
      </c>
      <c r="E29">
        <v>0.99</v>
      </c>
      <c r="F29">
        <v>71.4</v>
      </c>
    </row>
    <row r="30" spans="1:6">
      <c r="A30" t="s">
        <v>1351</v>
      </c>
      <c r="B30">
        <v>8</v>
      </c>
      <c r="C30">
        <v>704736</v>
      </c>
      <c r="D30">
        <v>1.82</v>
      </c>
      <c r="E30">
        <v>1.43</v>
      </c>
      <c r="F30">
        <v>72.9</v>
      </c>
    </row>
    <row r="31" spans="1:6">
      <c r="A31" t="s">
        <v>1353</v>
      </c>
      <c r="B31">
        <v>14</v>
      </c>
      <c r="C31">
        <v>564043</v>
      </c>
      <c r="D31">
        <v>2.42</v>
      </c>
      <c r="E31">
        <v>1.44</v>
      </c>
      <c r="F31">
        <v>82.6</v>
      </c>
    </row>
    <row r="32" spans="1:6">
      <c r="A32" t="s">
        <v>1355</v>
      </c>
      <c r="B32">
        <v>10</v>
      </c>
      <c r="C32">
        <v>316508</v>
      </c>
      <c r="D32">
        <v>3.64</v>
      </c>
      <c r="E32">
        <v>1.08</v>
      </c>
      <c r="F32">
        <v>88.5</v>
      </c>
    </row>
    <row r="33" spans="1:6">
      <c r="A33" t="s">
        <v>1357</v>
      </c>
      <c r="B33">
        <v>8</v>
      </c>
      <c r="C33">
        <v>746262</v>
      </c>
      <c r="D33">
        <v>1.62</v>
      </c>
      <c r="E33">
        <v>0.47</v>
      </c>
      <c r="F33">
        <v>78</v>
      </c>
    </row>
    <row r="34" spans="1:6">
      <c r="A34" t="s">
        <v>1359</v>
      </c>
      <c r="B34">
        <v>6</v>
      </c>
      <c r="C34">
        <v>190951</v>
      </c>
      <c r="D34">
        <v>6.05</v>
      </c>
      <c r="E34">
        <v>1.02</v>
      </c>
      <c r="F34">
        <v>69.7</v>
      </c>
    </row>
    <row r="35" spans="1:6">
      <c r="A35" t="s">
        <v>1361</v>
      </c>
      <c r="B35">
        <v>4</v>
      </c>
      <c r="C35">
        <v>195508</v>
      </c>
      <c r="D35">
        <v>1.42</v>
      </c>
      <c r="E35">
        <v>1.44</v>
      </c>
      <c r="F35">
        <v>84.2</v>
      </c>
    </row>
    <row r="36" spans="1:6">
      <c r="A36" t="s">
        <v>1363</v>
      </c>
      <c r="B36">
        <v>6</v>
      </c>
      <c r="C36">
        <v>47215</v>
      </c>
      <c r="D36">
        <v>5.11</v>
      </c>
      <c r="E36">
        <v>1.34</v>
      </c>
      <c r="F36">
        <v>97.8</v>
      </c>
    </row>
    <row r="37" spans="1:6">
      <c r="A37" t="s">
        <v>1365</v>
      </c>
      <c r="B37">
        <v>5</v>
      </c>
      <c r="C37">
        <v>458350</v>
      </c>
      <c r="D37">
        <v>4.9</v>
      </c>
      <c r="E37">
        <v>0.65</v>
      </c>
      <c r="F37">
        <v>81.1</v>
      </c>
    </row>
    <row r="38" spans="1:6">
      <c r="A38" t="s">
        <v>1367</v>
      </c>
      <c r="B38">
        <v>3</v>
      </c>
      <c r="C38">
        <v>434927</v>
      </c>
      <c r="D38">
        <v>8</v>
      </c>
      <c r="E38">
        <v>1.49</v>
      </c>
      <c r="F38">
        <v>91.1</v>
      </c>
    </row>
    <row r="39" spans="1:6">
      <c r="A39" t="s">
        <v>1369</v>
      </c>
      <c r="B39">
        <v>5</v>
      </c>
      <c r="C39">
        <v>943618</v>
      </c>
      <c r="D39">
        <v>5.86</v>
      </c>
      <c r="E39">
        <v>0.13</v>
      </c>
      <c r="F39">
        <v>75</v>
      </c>
    </row>
    <row r="40" spans="1:6">
      <c r="A40" t="s">
        <v>1371</v>
      </c>
      <c r="B40">
        <v>3</v>
      </c>
      <c r="C40">
        <v>1155686</v>
      </c>
      <c r="D40">
        <v>3.19</v>
      </c>
      <c r="E40">
        <v>0.8</v>
      </c>
      <c r="F40">
        <v>85.6</v>
      </c>
    </row>
    <row r="41" spans="1:6">
      <c r="A41" t="s">
        <v>1373</v>
      </c>
      <c r="B41">
        <v>12</v>
      </c>
      <c r="C41">
        <v>72748</v>
      </c>
      <c r="D41">
        <v>5.56</v>
      </c>
      <c r="E41">
        <v>0.34</v>
      </c>
      <c r="F41">
        <v>96.2</v>
      </c>
    </row>
    <row r="42" spans="1:6">
      <c r="A42" t="s">
        <v>1375</v>
      </c>
      <c r="B42">
        <v>3</v>
      </c>
      <c r="C42">
        <v>285199</v>
      </c>
      <c r="D42">
        <v>6.25</v>
      </c>
      <c r="E42">
        <v>0.36</v>
      </c>
      <c r="F42">
        <v>94.2</v>
      </c>
    </row>
    <row r="43" spans="1:6">
      <c r="A43" t="s">
        <v>1377</v>
      </c>
      <c r="B43">
        <v>3</v>
      </c>
      <c r="C43">
        <v>571764</v>
      </c>
      <c r="D43">
        <v>5.14</v>
      </c>
      <c r="E43">
        <v>1.29</v>
      </c>
      <c r="F43">
        <v>81.8</v>
      </c>
    </row>
    <row r="44" spans="1:6">
      <c r="A44" t="s">
        <v>1379</v>
      </c>
      <c r="B44">
        <v>11</v>
      </c>
      <c r="C44">
        <v>1047306</v>
      </c>
      <c r="D44">
        <v>8</v>
      </c>
      <c r="E44">
        <v>0.3</v>
      </c>
      <c r="F44">
        <v>92</v>
      </c>
    </row>
    <row r="45" spans="1:6">
      <c r="A45" t="s">
        <v>1381</v>
      </c>
      <c r="B45">
        <v>3</v>
      </c>
      <c r="C45">
        <v>1120620</v>
      </c>
      <c r="D45">
        <v>4.67</v>
      </c>
      <c r="E45">
        <v>0.75</v>
      </c>
      <c r="F45">
        <v>77.4</v>
      </c>
    </row>
    <row r="46" spans="1:6">
      <c r="A46" t="s">
        <v>1383</v>
      </c>
      <c r="B46">
        <v>2</v>
      </c>
      <c r="C46">
        <v>993945</v>
      </c>
      <c r="D46">
        <v>4.14</v>
      </c>
      <c r="E46">
        <v>1.41</v>
      </c>
      <c r="F46">
        <v>90.8</v>
      </c>
    </row>
    <row r="47" spans="1:6">
      <c r="A47" t="s">
        <v>1385</v>
      </c>
      <c r="B47">
        <v>5</v>
      </c>
      <c r="C47">
        <v>214202</v>
      </c>
      <c r="D47">
        <v>5</v>
      </c>
      <c r="E47">
        <v>0.42</v>
      </c>
      <c r="F47">
        <v>93</v>
      </c>
    </row>
    <row r="48" spans="1:6">
      <c r="A48" t="s">
        <v>1387</v>
      </c>
      <c r="B48">
        <v>12</v>
      </c>
      <c r="C48">
        <v>181080</v>
      </c>
      <c r="D48">
        <v>1.97</v>
      </c>
      <c r="E48">
        <v>0.91</v>
      </c>
      <c r="F48">
        <v>76</v>
      </c>
    </row>
    <row r="49" spans="1:6">
      <c r="A49" t="s">
        <v>1389</v>
      </c>
      <c r="B49">
        <v>3</v>
      </c>
      <c r="C49">
        <v>1027480</v>
      </c>
      <c r="D49">
        <v>2.78</v>
      </c>
      <c r="E49">
        <v>1.32</v>
      </c>
      <c r="F49">
        <v>97.3</v>
      </c>
    </row>
    <row r="50" spans="1:6">
      <c r="A50" t="s">
        <v>1391</v>
      </c>
      <c r="B50">
        <v>6</v>
      </c>
      <c r="C50">
        <v>279201</v>
      </c>
      <c r="D50">
        <v>6.9</v>
      </c>
      <c r="E50">
        <v>0.73</v>
      </c>
      <c r="F50">
        <v>68.3</v>
      </c>
    </row>
    <row r="51" spans="1:6">
      <c r="A51" t="s">
        <v>1393</v>
      </c>
      <c r="B51">
        <v>13</v>
      </c>
      <c r="C51">
        <v>619787</v>
      </c>
      <c r="D51">
        <v>6.43</v>
      </c>
      <c r="E51">
        <v>0.88</v>
      </c>
      <c r="F51">
        <v>89.3</v>
      </c>
    </row>
    <row r="52" spans="1:6">
      <c r="A52" t="s">
        <v>1395</v>
      </c>
      <c r="B52">
        <v>14</v>
      </c>
      <c r="C52">
        <v>533796</v>
      </c>
      <c r="D52">
        <v>6.62</v>
      </c>
      <c r="E52">
        <v>1.48</v>
      </c>
      <c r="F52">
        <v>77.1</v>
      </c>
    </row>
    <row r="53" spans="1:6">
      <c r="A53" t="s">
        <v>1397</v>
      </c>
      <c r="B53">
        <v>3</v>
      </c>
      <c r="C53">
        <v>958481</v>
      </c>
      <c r="D53">
        <v>1.34</v>
      </c>
      <c r="E53">
        <v>0.54</v>
      </c>
      <c r="F53">
        <v>82.8</v>
      </c>
    </row>
    <row r="54" spans="1:6">
      <c r="A54" t="s">
        <v>1399</v>
      </c>
      <c r="B54">
        <v>10</v>
      </c>
      <c r="C54">
        <v>600294</v>
      </c>
      <c r="D54">
        <v>1.92</v>
      </c>
      <c r="E54">
        <v>1.24</v>
      </c>
      <c r="F54">
        <v>99.9</v>
      </c>
    </row>
    <row r="55" spans="1:6">
      <c r="A55" t="s">
        <v>1401</v>
      </c>
      <c r="B55">
        <v>9</v>
      </c>
      <c r="C55">
        <v>667408</v>
      </c>
      <c r="D55">
        <v>7.67</v>
      </c>
      <c r="E55">
        <v>1.2</v>
      </c>
      <c r="F55">
        <v>66.4</v>
      </c>
    </row>
    <row r="56" spans="1:6">
      <c r="A56" t="s">
        <v>1403</v>
      </c>
      <c r="B56">
        <v>5</v>
      </c>
      <c r="C56">
        <v>650167</v>
      </c>
      <c r="D56">
        <v>6.37</v>
      </c>
      <c r="E56">
        <v>0.58</v>
      </c>
      <c r="F56">
        <v>90.7</v>
      </c>
    </row>
    <row r="57" spans="1:6">
      <c r="A57" t="s">
        <v>1405</v>
      </c>
      <c r="B57">
        <v>10</v>
      </c>
      <c r="C57">
        <v>354123</v>
      </c>
      <c r="D57">
        <v>7.14</v>
      </c>
      <c r="E57">
        <v>1.4</v>
      </c>
      <c r="F57">
        <v>83.5</v>
      </c>
    </row>
    <row r="58" spans="1:6">
      <c r="A58" t="s">
        <v>1407</v>
      </c>
      <c r="B58">
        <v>10</v>
      </c>
      <c r="C58">
        <v>947168</v>
      </c>
      <c r="D58">
        <v>7.32</v>
      </c>
      <c r="E58">
        <v>0.79</v>
      </c>
      <c r="F58">
        <v>79.4</v>
      </c>
    </row>
    <row r="59" spans="1:6">
      <c r="A59" t="s">
        <v>1409</v>
      </c>
      <c r="B59">
        <v>11</v>
      </c>
      <c r="C59">
        <v>363190</v>
      </c>
      <c r="D59">
        <v>1.81</v>
      </c>
      <c r="E59">
        <v>0.35</v>
      </c>
      <c r="F59">
        <v>68</v>
      </c>
    </row>
    <row r="60" spans="1:6">
      <c r="A60" t="s">
        <v>1411</v>
      </c>
      <c r="B60">
        <v>3</v>
      </c>
      <c r="C60">
        <v>60751</v>
      </c>
      <c r="D60">
        <v>5.35</v>
      </c>
      <c r="E60">
        <v>0.31</v>
      </c>
      <c r="F60">
        <v>91.5</v>
      </c>
    </row>
    <row r="61" spans="1:6">
      <c r="A61" t="s">
        <v>1413</v>
      </c>
      <c r="B61">
        <v>2</v>
      </c>
      <c r="C61">
        <v>1092852</v>
      </c>
      <c r="D61">
        <v>1.45</v>
      </c>
      <c r="E61">
        <v>0.96</v>
      </c>
      <c r="F61">
        <v>79.6</v>
      </c>
    </row>
  </sheetData>
  <autoFilter xmlns:etc="http://www.wps.cn/officeDocument/2017/etCustomData" ref="A1:F61" etc:filterBottomFollowUsedRange="0">
    <extLst/>
  </autoFilter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4"/>
  <cols>
    <col min="1" max="1" width="12" customWidth="1"/>
    <col min="2" max="2" width="16" customWidth="1"/>
    <col min="3" max="3" width="24" customWidth="1"/>
    <col min="4" max="5" width="22" customWidth="1"/>
  </cols>
  <sheetData>
    <row r="1" ht="30" customHeight="1" spans="1:5">
      <c r="A1" s="1" t="s">
        <v>51</v>
      </c>
      <c r="B1" s="1" t="s">
        <v>1419</v>
      </c>
      <c r="C1" s="1" t="s">
        <v>1420</v>
      </c>
      <c r="D1" s="1" t="s">
        <v>1421</v>
      </c>
      <c r="E1" s="1" t="s">
        <v>1422</v>
      </c>
    </row>
    <row r="2" spans="1:5">
      <c r="A2" t="s">
        <v>1287</v>
      </c>
      <c r="B2" t="s">
        <v>265</v>
      </c>
      <c r="C2">
        <v>78.9</v>
      </c>
      <c r="D2" t="s">
        <v>239</v>
      </c>
      <c r="E2" t="s">
        <v>239</v>
      </c>
    </row>
    <row r="3" spans="1:5">
      <c r="A3" t="s">
        <v>1291</v>
      </c>
      <c r="B3" t="s">
        <v>239</v>
      </c>
      <c r="C3">
        <v>95.2</v>
      </c>
      <c r="D3" t="s">
        <v>265</v>
      </c>
      <c r="E3" t="s">
        <v>239</v>
      </c>
    </row>
    <row r="4" spans="1:5">
      <c r="A4" t="s">
        <v>1293</v>
      </c>
      <c r="B4" t="s">
        <v>239</v>
      </c>
      <c r="C4">
        <v>90.8</v>
      </c>
      <c r="D4" t="s">
        <v>239</v>
      </c>
      <c r="E4" t="s">
        <v>239</v>
      </c>
    </row>
    <row r="5" spans="1:5">
      <c r="A5" t="s">
        <v>1297</v>
      </c>
      <c r="B5" t="s">
        <v>239</v>
      </c>
      <c r="C5">
        <v>79.8</v>
      </c>
      <c r="D5" t="s">
        <v>239</v>
      </c>
      <c r="E5" t="s">
        <v>239</v>
      </c>
    </row>
    <row r="6" spans="1:5">
      <c r="A6" t="s">
        <v>1300</v>
      </c>
      <c r="B6" t="s">
        <v>239</v>
      </c>
      <c r="C6">
        <v>80.8</v>
      </c>
      <c r="D6" t="s">
        <v>239</v>
      </c>
      <c r="E6" t="s">
        <v>239</v>
      </c>
    </row>
    <row r="7" spans="1:5">
      <c r="A7" t="s">
        <v>1302</v>
      </c>
      <c r="B7" t="s">
        <v>239</v>
      </c>
      <c r="C7">
        <v>77.5</v>
      </c>
      <c r="D7" t="s">
        <v>239</v>
      </c>
      <c r="E7" t="s">
        <v>239</v>
      </c>
    </row>
    <row r="8" spans="1:5">
      <c r="A8" t="s">
        <v>1305</v>
      </c>
      <c r="B8" t="s">
        <v>239</v>
      </c>
      <c r="C8">
        <v>91.3</v>
      </c>
      <c r="D8" t="s">
        <v>239</v>
      </c>
      <c r="E8" t="s">
        <v>239</v>
      </c>
    </row>
    <row r="9" spans="1:5">
      <c r="A9" t="s">
        <v>1308</v>
      </c>
      <c r="B9" t="s">
        <v>239</v>
      </c>
      <c r="C9">
        <v>83.6</v>
      </c>
      <c r="D9" t="s">
        <v>239</v>
      </c>
      <c r="E9" t="s">
        <v>239</v>
      </c>
    </row>
    <row r="10" spans="1:5">
      <c r="A10" t="s">
        <v>1310</v>
      </c>
      <c r="B10" t="s">
        <v>239</v>
      </c>
      <c r="C10">
        <v>91.2</v>
      </c>
      <c r="D10" t="s">
        <v>239</v>
      </c>
      <c r="E10" t="s">
        <v>239</v>
      </c>
    </row>
    <row r="11" spans="1:5">
      <c r="A11" t="s">
        <v>1313</v>
      </c>
      <c r="B11" t="s">
        <v>239</v>
      </c>
      <c r="C11">
        <v>92.8</v>
      </c>
      <c r="D11" t="s">
        <v>239</v>
      </c>
      <c r="E11" t="s">
        <v>265</v>
      </c>
    </row>
    <row r="12" spans="1:5">
      <c r="A12" t="s">
        <v>1315</v>
      </c>
      <c r="B12" t="s">
        <v>239</v>
      </c>
      <c r="C12">
        <v>79.3</v>
      </c>
      <c r="D12" t="s">
        <v>239</v>
      </c>
      <c r="E12" t="s">
        <v>239</v>
      </c>
    </row>
    <row r="13" spans="1:5">
      <c r="A13" t="s">
        <v>1317</v>
      </c>
      <c r="B13" t="s">
        <v>265</v>
      </c>
      <c r="C13">
        <v>81.3</v>
      </c>
      <c r="D13" t="s">
        <v>239</v>
      </c>
      <c r="E13" t="s">
        <v>265</v>
      </c>
    </row>
    <row r="14" spans="1:5">
      <c r="A14" t="s">
        <v>1319</v>
      </c>
      <c r="B14" t="s">
        <v>239</v>
      </c>
      <c r="C14">
        <v>97.9</v>
      </c>
      <c r="D14" t="s">
        <v>239</v>
      </c>
      <c r="E14" t="s">
        <v>239</v>
      </c>
    </row>
    <row r="15" spans="1:5">
      <c r="A15" t="s">
        <v>1321</v>
      </c>
      <c r="B15" t="s">
        <v>239</v>
      </c>
      <c r="C15">
        <v>82.3</v>
      </c>
      <c r="D15" t="s">
        <v>239</v>
      </c>
      <c r="E15" t="s">
        <v>239</v>
      </c>
    </row>
    <row r="16" spans="1:5">
      <c r="A16" t="s">
        <v>1323</v>
      </c>
      <c r="B16" t="s">
        <v>239</v>
      </c>
      <c r="C16">
        <v>91</v>
      </c>
      <c r="D16" t="s">
        <v>239</v>
      </c>
      <c r="E16" t="s">
        <v>239</v>
      </c>
    </row>
    <row r="17" spans="1:5">
      <c r="A17" t="s">
        <v>1325</v>
      </c>
      <c r="B17" t="s">
        <v>239</v>
      </c>
      <c r="C17">
        <v>96.1</v>
      </c>
      <c r="D17" t="s">
        <v>239</v>
      </c>
      <c r="E17" t="s">
        <v>239</v>
      </c>
    </row>
    <row r="18" spans="1:5">
      <c r="A18" t="s">
        <v>1327</v>
      </c>
      <c r="B18" t="s">
        <v>239</v>
      </c>
      <c r="C18">
        <v>75.2</v>
      </c>
      <c r="D18" t="s">
        <v>239</v>
      </c>
      <c r="E18" t="s">
        <v>239</v>
      </c>
    </row>
    <row r="19" spans="1:5">
      <c r="A19" t="s">
        <v>1329</v>
      </c>
      <c r="B19" t="s">
        <v>239</v>
      </c>
      <c r="C19">
        <v>90.5</v>
      </c>
      <c r="D19" t="s">
        <v>239</v>
      </c>
      <c r="E19" t="s">
        <v>239</v>
      </c>
    </row>
    <row r="20" spans="1:5">
      <c r="A20" t="s">
        <v>1331</v>
      </c>
      <c r="B20" t="s">
        <v>239</v>
      </c>
      <c r="C20">
        <v>90.6</v>
      </c>
      <c r="D20" t="s">
        <v>239</v>
      </c>
      <c r="E20" t="s">
        <v>239</v>
      </c>
    </row>
    <row r="21" spans="1:5">
      <c r="A21" t="s">
        <v>1333</v>
      </c>
      <c r="B21" t="s">
        <v>239</v>
      </c>
      <c r="C21">
        <v>83.4</v>
      </c>
      <c r="D21" t="s">
        <v>239</v>
      </c>
      <c r="E21" t="s">
        <v>239</v>
      </c>
    </row>
    <row r="22" spans="1:5">
      <c r="A22" t="s">
        <v>1335</v>
      </c>
      <c r="B22" t="s">
        <v>265</v>
      </c>
      <c r="C22">
        <v>97.3</v>
      </c>
      <c r="D22" t="s">
        <v>239</v>
      </c>
      <c r="E22" t="s">
        <v>239</v>
      </c>
    </row>
    <row r="23" spans="1:5">
      <c r="A23" t="s">
        <v>1337</v>
      </c>
      <c r="B23" t="s">
        <v>239</v>
      </c>
      <c r="C23">
        <v>74.3</v>
      </c>
      <c r="D23" t="s">
        <v>239</v>
      </c>
      <c r="E23" t="s">
        <v>239</v>
      </c>
    </row>
    <row r="24" spans="1:5">
      <c r="A24" t="s">
        <v>1339</v>
      </c>
      <c r="B24" t="s">
        <v>239</v>
      </c>
      <c r="C24">
        <v>94.3</v>
      </c>
      <c r="D24" t="s">
        <v>239</v>
      </c>
      <c r="E24" t="s">
        <v>239</v>
      </c>
    </row>
    <row r="25" spans="1:5">
      <c r="A25" t="s">
        <v>1341</v>
      </c>
      <c r="B25" t="s">
        <v>239</v>
      </c>
      <c r="C25">
        <v>86.1</v>
      </c>
      <c r="D25" t="s">
        <v>239</v>
      </c>
      <c r="E25" t="s">
        <v>239</v>
      </c>
    </row>
    <row r="26" spans="1:5">
      <c r="A26" t="s">
        <v>1343</v>
      </c>
      <c r="B26" t="s">
        <v>239</v>
      </c>
      <c r="C26">
        <v>90.4</v>
      </c>
      <c r="D26" t="s">
        <v>239</v>
      </c>
      <c r="E26" t="s">
        <v>239</v>
      </c>
    </row>
    <row r="27" spans="1:5">
      <c r="A27" t="s">
        <v>1345</v>
      </c>
      <c r="B27" t="s">
        <v>239</v>
      </c>
      <c r="C27">
        <v>92.7</v>
      </c>
      <c r="D27" t="s">
        <v>239</v>
      </c>
      <c r="E27" t="s">
        <v>239</v>
      </c>
    </row>
    <row r="28" spans="1:5">
      <c r="A28" t="s">
        <v>1347</v>
      </c>
      <c r="B28" t="s">
        <v>239</v>
      </c>
      <c r="C28">
        <v>96.3</v>
      </c>
      <c r="D28" t="s">
        <v>239</v>
      </c>
      <c r="E28" t="s">
        <v>239</v>
      </c>
    </row>
    <row r="29" spans="1:5">
      <c r="A29" t="s">
        <v>1349</v>
      </c>
      <c r="B29" t="s">
        <v>239</v>
      </c>
      <c r="C29">
        <v>80.2</v>
      </c>
      <c r="D29" t="s">
        <v>239</v>
      </c>
      <c r="E29" t="s">
        <v>265</v>
      </c>
    </row>
    <row r="30" spans="1:5">
      <c r="A30" t="s">
        <v>1351</v>
      </c>
      <c r="B30" t="s">
        <v>239</v>
      </c>
      <c r="C30">
        <v>84.9</v>
      </c>
      <c r="D30" t="s">
        <v>239</v>
      </c>
      <c r="E30" t="s">
        <v>265</v>
      </c>
    </row>
    <row r="31" spans="1:5">
      <c r="A31" t="s">
        <v>1353</v>
      </c>
      <c r="B31" t="s">
        <v>239</v>
      </c>
      <c r="C31">
        <v>91.2</v>
      </c>
      <c r="D31" t="s">
        <v>239</v>
      </c>
      <c r="E31" t="s">
        <v>239</v>
      </c>
    </row>
    <row r="32" spans="1:5">
      <c r="A32" t="s">
        <v>1355</v>
      </c>
      <c r="B32" t="s">
        <v>239</v>
      </c>
      <c r="C32">
        <v>90.1</v>
      </c>
      <c r="D32" t="s">
        <v>239</v>
      </c>
      <c r="E32" t="s">
        <v>265</v>
      </c>
    </row>
    <row r="33" spans="1:5">
      <c r="A33" t="s">
        <v>1357</v>
      </c>
      <c r="B33" t="s">
        <v>239</v>
      </c>
      <c r="C33">
        <v>87.9</v>
      </c>
      <c r="D33" t="s">
        <v>239</v>
      </c>
      <c r="E33" t="s">
        <v>239</v>
      </c>
    </row>
    <row r="34" spans="1:5">
      <c r="A34" t="s">
        <v>1359</v>
      </c>
      <c r="B34" t="s">
        <v>239</v>
      </c>
      <c r="C34">
        <v>73.2</v>
      </c>
      <c r="D34" t="s">
        <v>239</v>
      </c>
      <c r="E34" t="s">
        <v>239</v>
      </c>
    </row>
    <row r="35" spans="1:5">
      <c r="A35" t="s">
        <v>1361</v>
      </c>
      <c r="B35" t="s">
        <v>239</v>
      </c>
      <c r="C35">
        <v>71.3</v>
      </c>
      <c r="D35" t="s">
        <v>239</v>
      </c>
      <c r="E35" t="s">
        <v>239</v>
      </c>
    </row>
    <row r="36" spans="1:5">
      <c r="A36" t="s">
        <v>1363</v>
      </c>
      <c r="B36" t="s">
        <v>265</v>
      </c>
      <c r="C36">
        <v>85</v>
      </c>
      <c r="D36" t="s">
        <v>239</v>
      </c>
      <c r="E36" t="s">
        <v>239</v>
      </c>
    </row>
    <row r="37" spans="1:5">
      <c r="A37" t="s">
        <v>1365</v>
      </c>
      <c r="B37" t="s">
        <v>265</v>
      </c>
      <c r="C37">
        <v>90.2</v>
      </c>
      <c r="D37" t="s">
        <v>239</v>
      </c>
      <c r="E37" t="s">
        <v>239</v>
      </c>
    </row>
    <row r="38" spans="1:5">
      <c r="A38" t="s">
        <v>1367</v>
      </c>
      <c r="B38" t="s">
        <v>239</v>
      </c>
      <c r="C38">
        <v>77.4</v>
      </c>
      <c r="D38" t="s">
        <v>239</v>
      </c>
      <c r="E38" t="s">
        <v>239</v>
      </c>
    </row>
    <row r="39" spans="1:5">
      <c r="A39" t="s">
        <v>1369</v>
      </c>
      <c r="B39" t="s">
        <v>239</v>
      </c>
      <c r="C39">
        <v>72.4</v>
      </c>
      <c r="D39" t="s">
        <v>239</v>
      </c>
      <c r="E39" t="s">
        <v>239</v>
      </c>
    </row>
    <row r="40" spans="1:5">
      <c r="A40" t="s">
        <v>1371</v>
      </c>
      <c r="B40" t="s">
        <v>239</v>
      </c>
      <c r="C40">
        <v>89.7</v>
      </c>
      <c r="D40" t="s">
        <v>239</v>
      </c>
      <c r="E40" t="s">
        <v>239</v>
      </c>
    </row>
    <row r="41" spans="1:5">
      <c r="A41" t="s">
        <v>1373</v>
      </c>
      <c r="B41" t="s">
        <v>239</v>
      </c>
      <c r="C41">
        <v>72.3</v>
      </c>
      <c r="D41" t="s">
        <v>265</v>
      </c>
      <c r="E41" t="s">
        <v>239</v>
      </c>
    </row>
    <row r="42" spans="1:5">
      <c r="A42" t="s">
        <v>1375</v>
      </c>
      <c r="B42" t="s">
        <v>239</v>
      </c>
      <c r="C42">
        <v>87.3</v>
      </c>
      <c r="D42" t="s">
        <v>239</v>
      </c>
      <c r="E42" t="s">
        <v>239</v>
      </c>
    </row>
    <row r="43" spans="1:5">
      <c r="A43" t="s">
        <v>1377</v>
      </c>
      <c r="B43" t="s">
        <v>265</v>
      </c>
      <c r="C43">
        <v>77.3</v>
      </c>
      <c r="D43" t="s">
        <v>239</v>
      </c>
      <c r="E43" t="s">
        <v>239</v>
      </c>
    </row>
    <row r="44" spans="1:5">
      <c r="A44" t="s">
        <v>1379</v>
      </c>
      <c r="B44" t="s">
        <v>239</v>
      </c>
      <c r="C44">
        <v>72.4</v>
      </c>
      <c r="D44" t="s">
        <v>239</v>
      </c>
      <c r="E44" t="s">
        <v>239</v>
      </c>
    </row>
    <row r="45" spans="1:5">
      <c r="A45" t="s">
        <v>1381</v>
      </c>
      <c r="B45" t="s">
        <v>239</v>
      </c>
      <c r="C45">
        <v>75</v>
      </c>
      <c r="D45" t="s">
        <v>265</v>
      </c>
      <c r="E45" t="s">
        <v>239</v>
      </c>
    </row>
    <row r="46" spans="1:5">
      <c r="A46" t="s">
        <v>1383</v>
      </c>
      <c r="B46" t="s">
        <v>239</v>
      </c>
      <c r="C46">
        <v>87.1</v>
      </c>
      <c r="D46" t="s">
        <v>239</v>
      </c>
      <c r="E46" t="s">
        <v>239</v>
      </c>
    </row>
    <row r="47" spans="1:5">
      <c r="A47" t="s">
        <v>1385</v>
      </c>
      <c r="B47" t="s">
        <v>265</v>
      </c>
      <c r="C47">
        <v>90.7</v>
      </c>
      <c r="D47" t="s">
        <v>239</v>
      </c>
      <c r="E47" t="s">
        <v>239</v>
      </c>
    </row>
    <row r="48" spans="1:5">
      <c r="A48" t="s">
        <v>1387</v>
      </c>
      <c r="B48" t="s">
        <v>265</v>
      </c>
      <c r="C48">
        <v>98.5</v>
      </c>
      <c r="D48" t="s">
        <v>239</v>
      </c>
      <c r="E48" t="s">
        <v>239</v>
      </c>
    </row>
    <row r="49" spans="1:5">
      <c r="A49" t="s">
        <v>1389</v>
      </c>
      <c r="B49" t="s">
        <v>239</v>
      </c>
      <c r="C49">
        <v>97.9</v>
      </c>
      <c r="D49" t="s">
        <v>239</v>
      </c>
      <c r="E49" t="s">
        <v>239</v>
      </c>
    </row>
    <row r="50" spans="1:5">
      <c r="A50" t="s">
        <v>1391</v>
      </c>
      <c r="B50" t="s">
        <v>239</v>
      </c>
      <c r="C50">
        <v>84.7</v>
      </c>
      <c r="D50" t="s">
        <v>239</v>
      </c>
      <c r="E50" t="s">
        <v>265</v>
      </c>
    </row>
    <row r="51" spans="1:5">
      <c r="A51" t="s">
        <v>1393</v>
      </c>
      <c r="B51" t="s">
        <v>239</v>
      </c>
      <c r="C51">
        <v>91.4</v>
      </c>
      <c r="D51" t="s">
        <v>239</v>
      </c>
      <c r="E51" t="s">
        <v>239</v>
      </c>
    </row>
    <row r="52" spans="1:5">
      <c r="A52" t="s">
        <v>1395</v>
      </c>
      <c r="B52" t="s">
        <v>239</v>
      </c>
      <c r="C52">
        <v>98.1</v>
      </c>
      <c r="D52" t="s">
        <v>239</v>
      </c>
      <c r="E52" t="s">
        <v>239</v>
      </c>
    </row>
    <row r="53" spans="1:5">
      <c r="A53" t="s">
        <v>1397</v>
      </c>
      <c r="B53" t="s">
        <v>239</v>
      </c>
      <c r="C53">
        <v>78</v>
      </c>
      <c r="D53" t="s">
        <v>239</v>
      </c>
      <c r="E53" t="s">
        <v>239</v>
      </c>
    </row>
    <row r="54" spans="1:5">
      <c r="A54" t="s">
        <v>1399</v>
      </c>
      <c r="B54" t="s">
        <v>239</v>
      </c>
      <c r="C54">
        <v>81.4</v>
      </c>
      <c r="D54" t="s">
        <v>239</v>
      </c>
      <c r="E54" t="s">
        <v>239</v>
      </c>
    </row>
    <row r="55" spans="1:5">
      <c r="A55" t="s">
        <v>1401</v>
      </c>
      <c r="B55" t="s">
        <v>239</v>
      </c>
      <c r="C55">
        <v>84.1</v>
      </c>
      <c r="D55" t="s">
        <v>239</v>
      </c>
      <c r="E55" t="s">
        <v>239</v>
      </c>
    </row>
    <row r="56" spans="1:5">
      <c r="A56" t="s">
        <v>1403</v>
      </c>
      <c r="B56" t="s">
        <v>265</v>
      </c>
      <c r="C56">
        <v>93.7</v>
      </c>
      <c r="D56" t="s">
        <v>239</v>
      </c>
      <c r="E56" t="s">
        <v>239</v>
      </c>
    </row>
    <row r="57" spans="1:5">
      <c r="A57" t="s">
        <v>1405</v>
      </c>
      <c r="B57" t="s">
        <v>239</v>
      </c>
      <c r="C57">
        <v>83.2</v>
      </c>
      <c r="D57" t="s">
        <v>239</v>
      </c>
      <c r="E57" t="s">
        <v>239</v>
      </c>
    </row>
    <row r="58" spans="1:5">
      <c r="A58" t="s">
        <v>1407</v>
      </c>
      <c r="B58" t="s">
        <v>239</v>
      </c>
      <c r="C58">
        <v>92.3</v>
      </c>
      <c r="D58" t="s">
        <v>239</v>
      </c>
      <c r="E58" t="s">
        <v>239</v>
      </c>
    </row>
    <row r="59" spans="1:5">
      <c r="A59" t="s">
        <v>1409</v>
      </c>
      <c r="B59" t="s">
        <v>239</v>
      </c>
      <c r="C59">
        <v>74.4</v>
      </c>
      <c r="D59" t="s">
        <v>239</v>
      </c>
      <c r="E59" t="s">
        <v>265</v>
      </c>
    </row>
    <row r="60" spans="1:5">
      <c r="A60" t="s">
        <v>1411</v>
      </c>
      <c r="B60" t="s">
        <v>265</v>
      </c>
      <c r="C60">
        <v>98.8</v>
      </c>
      <c r="D60" t="s">
        <v>265</v>
      </c>
      <c r="E60" t="s">
        <v>239</v>
      </c>
    </row>
    <row r="61" spans="1:5">
      <c r="A61" t="s">
        <v>1413</v>
      </c>
      <c r="B61" t="s">
        <v>239</v>
      </c>
      <c r="C61">
        <v>76.3</v>
      </c>
      <c r="D61" t="s">
        <v>239</v>
      </c>
      <c r="E61" t="s">
        <v>239</v>
      </c>
    </row>
  </sheetData>
  <autoFilter xmlns:etc="http://www.wps.cn/officeDocument/2017/etCustomData" ref="A1:E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START_HERE</vt:lpstr>
      <vt:lpstr>DataDictionary</vt:lpstr>
      <vt:lpstr>Products</vt:lpstr>
      <vt:lpstr>Suppliers</vt:lpstr>
      <vt:lpstr>SupplierQuotes</vt:lpstr>
      <vt:lpstr>PurchaseOrders</vt:lpstr>
      <vt:lpstr>POSummary</vt:lpstr>
      <vt:lpstr>POLines</vt:lpstr>
      <vt:lpstr>POTracking</vt:lpstr>
      <vt:lpstr>InventoryMonthly</vt:lpstr>
      <vt:lpstr>SalesMonthly</vt:lpstr>
      <vt:lpstr>SupplierPerformance</vt:lpstr>
      <vt:lpstr>SupplierSummary</vt:lpstr>
      <vt:lpstr>DeliverySummary</vt:lpstr>
      <vt:lpstr>SupplierSpend</vt:lpstr>
      <vt:lpstr>SupplierFollowUp</vt:lpstr>
      <vt:lpstr>Agencies</vt:lpstr>
      <vt:lpstr>Campaigns</vt:lpstr>
      <vt:lpstr>CreatorPerformance</vt:lpstr>
      <vt:lpstr>CampaignCompliance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WPS_1733260669</cp:lastModifiedBy>
  <dcterms:created xsi:type="dcterms:W3CDTF">2026-10-14T21:15:00Z</dcterms:created>
  <dcterms:modified xsi:type="dcterms:W3CDTF">2026-10-15T21:33:26Z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C5731225E9AC481E9652C35DD0B16668_13</vt:lpwstr>
  </property>
  <property fmtid="{D5CDD505-2E9C-101B-9397-08002B2CF9AE}" pid="3" name="KSOProductBuildVer">
    <vt:lpwstr>2057-12.2.0.23206</vt:lpwstr>
  </property>
</Properties>
</file>